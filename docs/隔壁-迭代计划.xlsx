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迭代清单" sheetId="2" state="visible" r:id="rId2"/>
    <sheet xmlns:r="http://schemas.openxmlformats.org/officeDocument/2006/relationships" name="实验指标" sheetId="3" state="visible" r:id="rId3"/>
  </sheets>
  <definedNames>
    <definedName name="_xlnm._FilterDatabase" localSheetId="1" hidden="1">'迭代清单'!$A$1:$L$20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0%;\-0%;0%"/>
    <numFmt numFmtId="165" formatCode="0.0%"/>
    <numFmt numFmtId="166" formatCode="yyyy\-mm\-dd"/>
    <numFmt numFmtId="167" formatCode="\+0.0%;\-0.0%;0.0%"/>
    <numFmt numFmtId="168" formatCode="0.0"/>
    <numFmt numFmtId="169" formatCode="\+0.0;\-0.0;0.0"/>
    <numFmt numFmtId="170" formatCode="\+0;\-0;0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charset val="1"/>
      <family val="2"/>
      <b val="1"/>
      <color rgb="FF2A2140"/>
      <sz val="16"/>
    </font>
    <font>
      <name val="Noto Sans CJK SC"/>
      <charset val="1"/>
      <family val="2"/>
      <color rgb="FF595959"/>
      <sz val="10"/>
    </font>
    <font>
      <name val="Noto Sans CJK SC"/>
      <charset val="1"/>
      <family val="2"/>
      <b val="1"/>
      <color rgb="FFFFFFFF"/>
      <sz val="10"/>
    </font>
    <font>
      <name val="Arial"/>
      <charset val="1"/>
      <family val="0"/>
      <b val="1"/>
      <sz val="10"/>
    </font>
    <font>
      <name val="Noto Sans CJK SC"/>
      <family val="2"/>
      <b val="1"/>
      <sz val="10"/>
    </font>
    <font>
      <name val="Arial"/>
      <charset val="1"/>
      <family val="0"/>
      <sz val="10"/>
    </font>
    <font>
      <name val="Noto Sans CJK SC"/>
      <charset val="1"/>
      <family val="2"/>
      <sz val="10"/>
    </font>
    <font>
      <name val="Noto Sans CJK SC"/>
      <charset val="1"/>
      <family val="2"/>
      <b val="1"/>
      <sz val="10"/>
    </font>
    <font>
      <name val="Noto Sans CJK SC"/>
      <charset val="1"/>
      <family val="2"/>
      <color theme="1"/>
      <sz val="11"/>
    </font>
    <font>
      <name val="Arial"/>
      <charset val="1"/>
      <family val="0"/>
      <color rgb="FF008000"/>
      <sz val="10"/>
    </font>
    <font>
      <name val="Noto Sans CJK SC"/>
      <family val="2"/>
      <sz val="10"/>
    </font>
  </fonts>
  <fills count="8">
    <fill>
      <patternFill/>
    </fill>
    <fill>
      <patternFill patternType="gray125"/>
    </fill>
    <fill>
      <patternFill patternType="solid">
        <fgColor rgb="FF2A2140"/>
        <bgColor rgb="FF333300"/>
      </patternFill>
    </fill>
    <fill>
      <patternFill patternType="solid">
        <fgColor rgb="FFFDE9D9"/>
        <bgColor rgb="FFFFF2CC"/>
      </patternFill>
    </fill>
    <fill>
      <patternFill patternType="solid">
        <fgColor rgb="FFE2EFDA"/>
        <bgColor rgb="FFEDEDED"/>
      </patternFill>
    </fill>
    <fill>
      <patternFill patternType="solid">
        <fgColor rgb="FFDDEBF7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FDE9D9"/>
      </patternFill>
    </fill>
  </fills>
  <borders count="2">
    <border>
      <left/>
      <right/>
      <top/>
      <bottom/>
      <diagonal/>
    </border>
    <border>
      <left style="thin">
        <color rgb="FFD0CCD6"/>
      </left>
      <right style="thin">
        <color rgb="FFD0CCD6"/>
      </right>
      <top style="thin">
        <color rgb="FFD0CCD6"/>
      </top>
      <bottom style="thin">
        <color rgb="FFD0CCD6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65" fontId="13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10" fillId="7" borderId="1" applyAlignment="1" pivotButton="0" quotePrefix="0" xfId="0">
      <alignment horizontal="center" vertical="top" wrapText="1"/>
    </xf>
    <xf numFmtId="0" fontId="9" fillId="7" borderId="1" applyAlignment="1" pivotButton="0" quotePrefix="0" xfId="0">
      <alignment horizontal="general" vertical="top" wrapText="1"/>
    </xf>
    <xf numFmtId="166" fontId="9" fillId="7" borderId="1" applyAlignment="1" pivotButton="0" quotePrefix="0" xfId="0">
      <alignment horizontal="center" vertical="top" wrapText="1"/>
    </xf>
    <xf numFmtId="0" fontId="10" fillId="7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general" vertical="top" wrapText="1"/>
    </xf>
    <xf numFmtId="0" fontId="9" fillId="5" borderId="1" applyAlignment="1" pivotButton="0" quotePrefix="0" xfId="0">
      <alignment horizontal="center" vertical="top" wrapText="1"/>
    </xf>
    <xf numFmtId="0" fontId="9" fillId="6" borderId="1" applyAlignment="1" pivotButton="0" quotePrefix="0" xfId="0">
      <alignment horizontal="center" vertical="top" wrapText="1"/>
    </xf>
    <xf numFmtId="0" fontId="10" fillId="6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center" vertical="top" wrapText="1"/>
    </xf>
    <xf numFmtId="165" fontId="9" fillId="7" borderId="1" applyAlignment="1" pivotButton="0" quotePrefix="0" xfId="0">
      <alignment horizontal="center" vertical="top" wrapText="1"/>
    </xf>
    <xf numFmtId="167" fontId="9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top" wrapText="1"/>
    </xf>
    <xf numFmtId="168" fontId="9" fillId="7" borderId="1" applyAlignment="1" pivotButton="0" quotePrefix="0" xfId="0">
      <alignment horizontal="center" vertical="top" wrapText="1"/>
    </xf>
    <xf numFmtId="169" fontId="9" fillId="0" borderId="1" applyAlignment="1" pivotButton="0" quotePrefix="0" xfId="0">
      <alignment horizontal="center" vertical="top" wrapText="1"/>
    </xf>
    <xf numFmtId="1" fontId="9" fillId="7" borderId="1" applyAlignment="1" pivotButton="0" quotePrefix="0" xfId="0">
      <alignment horizontal="center" vertical="top" wrapText="1"/>
    </xf>
    <xf numFmtId="170" fontId="9" fillId="0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65" fontId="13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10" fillId="7" borderId="1" applyAlignment="1" pivotButton="0" quotePrefix="0" xfId="0">
      <alignment horizontal="center" vertical="top" wrapText="1"/>
    </xf>
    <xf numFmtId="0" fontId="9" fillId="7" borderId="1" applyAlignment="1" pivotButton="0" quotePrefix="0" xfId="0">
      <alignment horizontal="general" vertical="top" wrapText="1"/>
    </xf>
    <xf numFmtId="166" fontId="9" fillId="7" borderId="1" applyAlignment="1" pivotButton="0" quotePrefix="0" xfId="0">
      <alignment horizontal="center" vertical="top" wrapText="1"/>
    </xf>
    <xf numFmtId="0" fontId="10" fillId="7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general" vertical="top" wrapText="1"/>
    </xf>
    <xf numFmtId="0" fontId="9" fillId="5" borderId="1" applyAlignment="1" pivotButton="0" quotePrefix="0" xfId="0">
      <alignment horizontal="center" vertical="top" wrapText="1"/>
    </xf>
    <xf numFmtId="0" fontId="9" fillId="6" borderId="1" applyAlignment="1" pivotButton="0" quotePrefix="0" xfId="0">
      <alignment horizontal="center" vertical="top" wrapText="1"/>
    </xf>
    <xf numFmtId="0" fontId="10" fillId="6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general" vertical="top" wrapText="1"/>
    </xf>
    <xf numFmtId="0" fontId="9" fillId="5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10" fillId="7" borderId="1" applyAlignment="1" pivotButton="0" quotePrefix="0" xfId="0">
      <alignment horizontal="center" vertical="top" wrapText="1"/>
    </xf>
    <xf numFmtId="0" fontId="9" fillId="7" borderId="1" applyAlignment="1" pivotButton="0" quotePrefix="0" xfId="0">
      <alignment horizontal="general" vertical="top" wrapText="1"/>
    </xf>
    <xf numFmtId="166" fontId="9" fillId="7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center" vertical="top" wrapText="1"/>
    </xf>
    <xf numFmtId="165" fontId="9" fillId="7" borderId="1" applyAlignment="1" pivotButton="0" quotePrefix="0" xfId="0">
      <alignment horizontal="center" vertical="top" wrapText="1"/>
    </xf>
    <xf numFmtId="167" fontId="9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top" wrapText="1"/>
    </xf>
    <xf numFmtId="168" fontId="9" fillId="7" borderId="1" applyAlignment="1" pivotButton="0" quotePrefix="0" xfId="0">
      <alignment horizontal="center" vertical="top" wrapText="1"/>
    </xf>
    <xf numFmtId="169" fontId="9" fillId="0" borderId="1" applyAlignment="1" pivotButton="0" quotePrefix="0" xfId="0">
      <alignment horizontal="center" vertical="top" wrapText="1"/>
    </xf>
    <xf numFmtId="1" fontId="9" fillId="7" borderId="1" applyAlignment="1" pivotButton="0" quotePrefix="0" xfId="0">
      <alignment horizontal="center" vertical="top" wrapText="1"/>
    </xf>
    <xf numFmtId="170" fontId="9" fillId="0" borderId="1" applyAlignment="1" pivotButton="0" quotePrefix="0" xfId="0">
      <alignment horizontal="center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3">
    <dxf>
      <fill>
        <patternFill patternType="solid">
          <fgColor rgb="FF2A2140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DEDED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0CC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FDE9D9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A21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Unknown Author</author>
  </authors>
  <commentList>
    <comment ref="B2" authorId="0" shapeId="0">
      <text>
        <t>北极星指标：衡量“被理解”是否发生，这是讨论中认为真正稀缺的东西。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1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44" min="1" max="1"/>
    <col width="13" customWidth="1" style="44" min="2" max="6"/>
    <col width="40" customWidth="1" style="44" min="7" max="7"/>
  </cols>
  <sheetData>
    <row r="1" ht="23.25" customHeight="1" s="45">
      <c r="A1" s="46" t="inlineStr">
        <is>
          <t>隔壁 · 迭代计划</t>
        </is>
      </c>
    </row>
    <row r="2" ht="15" customHeight="1" s="45">
      <c r="A2" s="47" t="inlineStr">
        <is>
          <t>原则：停下视觉打磨，迭代全部服务于 15 到 25 人的小型开放工作室实验。</t>
        </is>
      </c>
    </row>
    <row r="4" ht="15" customHeight="1" s="45">
      <c r="A4" s="48" t="inlineStr">
        <is>
          <t>阶段</t>
        </is>
      </c>
      <c r="B4" s="48" t="inlineStr">
        <is>
          <t>迭代项数</t>
        </is>
      </c>
      <c r="C4" s="48" t="inlineStr">
        <is>
          <t>已完成</t>
        </is>
      </c>
      <c r="D4" s="48" t="inlineStr">
        <is>
          <t>进行中</t>
        </is>
      </c>
      <c r="E4" s="48" t="inlineStr">
        <is>
          <t>未开始</t>
        </is>
      </c>
      <c r="F4" s="48" t="inlineStr">
        <is>
          <t>完成率</t>
        </is>
      </c>
      <c r="G4" s="48" t="inlineStr">
        <is>
          <t>这一阶段要做到的事</t>
        </is>
      </c>
    </row>
    <row r="5" ht="15" customHeight="1" s="45">
      <c r="A5" s="49" t="inlineStr">
        <is>
          <t>P0 实验前</t>
        </is>
      </c>
      <c r="B5" s="50">
        <f>COUNTIF(迭代清单!$B$2:$B$29,A5)</f>
        <v/>
      </c>
      <c r="C5" s="50">
        <f>COUNTIFS(迭代清单!$B$2:$B$29,A5,迭代清单!$H$2:$H$29,"已完成")</f>
        <v/>
      </c>
      <c r="D5" s="50">
        <f>COUNTIFS(迭代清单!$B$2:$B$29,A5,迭代清单!$H$2:$H$29,"进行中")</f>
        <v/>
      </c>
      <c r="E5" s="50">
        <f>COUNTIFS(迭代清单!$B$2:$B$29,A5,迭代清单!$H$2:$H$29,"未开始")</f>
        <v/>
      </c>
      <c r="F5" s="51">
        <f>IF(B5=0,"",C5/B5)</f>
        <v/>
      </c>
      <c r="G5" s="52" t="inlineStr">
        <is>
          <t>开放工作室之前必须补上的</t>
        </is>
      </c>
    </row>
    <row r="6" ht="15" customHeight="1" s="45">
      <c r="A6" s="53" t="inlineStr">
        <is>
          <t>P1 实验中</t>
        </is>
      </c>
      <c r="B6" s="50">
        <f>COUNTIF(迭代清单!$B$2:$B$29,A6)</f>
        <v/>
      </c>
      <c r="C6" s="50">
        <f>COUNTIFS(迭代清单!$B$2:$B$29,A6,迭代清单!$H$2:$H$29,"已完成")</f>
        <v/>
      </c>
      <c r="D6" s="50">
        <f>COUNTIFS(迭代清单!$B$2:$B$29,A6,迭代清单!$H$2:$H$29,"进行中")</f>
        <v/>
      </c>
      <c r="E6" s="50">
        <f>COUNTIFS(迭代清单!$B$2:$B$29,A6,迭代清单!$H$2:$H$29,"未开始")</f>
        <v/>
      </c>
      <c r="F6" s="51">
        <f>IF(B6=0,"",C6/B6)</f>
        <v/>
      </c>
      <c r="G6" s="52" t="inlineStr">
        <is>
          <t>验证社区机制</t>
        </is>
      </c>
    </row>
    <row r="7" ht="15" customHeight="1" s="45">
      <c r="A7" s="54" t="inlineStr">
        <is>
          <t>P2 有信号后</t>
        </is>
      </c>
      <c r="B7" s="50">
        <f>COUNTIF(迭代清单!$B$2:$B$29,A7)</f>
        <v/>
      </c>
      <c r="C7" s="50">
        <f>COUNTIFS(迭代清单!$B$2:$B$29,A7,迭代清单!$H$2:$H$29,"已完成")</f>
        <v/>
      </c>
      <c r="D7" s="50">
        <f>COUNTIFS(迭代清单!$B$2:$B$29,A7,迭代清单!$H$2:$H$29,"进行中")</f>
        <v/>
      </c>
      <c r="E7" s="50">
        <f>COUNTIFS(迭代清单!$B$2:$B$29,A7,迭代清单!$H$2:$H$29,"未开始")</f>
        <v/>
      </c>
      <c r="F7" s="51">
        <f>IF(B7=0,"",C7/B7)</f>
        <v/>
      </c>
      <c r="G7" s="52" t="inlineStr">
        <is>
          <t>依赖前面的机制被验证，现在做是浪费</t>
        </is>
      </c>
    </row>
    <row r="8" ht="15" customHeight="1" s="45">
      <c r="A8" s="55" t="inlineStr">
        <is>
          <t>暂缓</t>
        </is>
      </c>
      <c r="B8" s="50">
        <f>COUNTIF(迭代清单!$B$2:$B$29,A8)</f>
        <v/>
      </c>
      <c r="C8" s="50">
        <f>COUNTIFS(迭代清单!$B$2:$B$29,A8,迭代清单!$H$2:$H$29,"已完成")</f>
        <v/>
      </c>
      <c r="D8" s="50">
        <f>COUNTIFS(迭代清单!$B$2:$B$29,A8,迭代清单!$H$2:$H$29,"进行中")</f>
        <v/>
      </c>
      <c r="E8" s="50">
        <f>COUNTIFS(迭代清单!$B$2:$B$29,A8,迭代清单!$H$2:$H$29,"未开始")</f>
        <v/>
      </c>
      <c r="F8" s="51">
        <f>IF(B8=0,"",C8/B8)</f>
        <v/>
      </c>
      <c r="G8" s="52" t="inlineStr">
        <is>
          <t>先砍掉：换不来文稿问题的答案</t>
        </is>
      </c>
    </row>
    <row r="9" ht="15" customHeight="1" s="45">
      <c r="A9" s="56" t="inlineStr">
        <is>
          <t>合计</t>
        </is>
      </c>
      <c r="B9" s="57">
        <f>SUM(B5:B8)</f>
        <v/>
      </c>
      <c r="C9" s="57">
        <f>SUM(C5:C8)</f>
        <v/>
      </c>
      <c r="D9" s="57">
        <f>SUM(D5:D8)</f>
        <v/>
      </c>
      <c r="E9" s="57">
        <f>SUM(E5:E8)</f>
        <v/>
      </c>
      <c r="F9" s="58">
        <f>IF(B9=0,"",C9/B9)</f>
        <v/>
      </c>
      <c r="G9" s="56" t="n"/>
    </row>
    <row r="11" ht="15" customHeight="1" s="45">
      <c r="A11" s="59" t="inlineStr">
        <is>
          <t>北极星指标</t>
        </is>
      </c>
      <c r="B11" s="60" t="inlineStr">
        <is>
          <t>收到非熟人真实回应的房间占比</t>
        </is>
      </c>
    </row>
    <row r="12" ht="15" customHeight="1" s="45">
      <c r="A12" s="59" t="inlineStr">
        <is>
          <t>最近一轮数值</t>
        </is>
      </c>
      <c r="B12" s="61">
        <f>IF(实验指标!I2&lt;&gt;"",实验指标!I2,IF(实验指标!H2&lt;&gt;"",实验指标!H2,IF(实验指标!G2&lt;&gt;"",实验指标!G2,IF(实验指标!F2&lt;&gt;"",实验指标!F2,"尚未填写"))))</f>
        <v/>
      </c>
    </row>
    <row r="14" ht="15" customHeight="1" s="45">
      <c r="A14" s="59" t="inlineStr">
        <is>
          <t>怎么填</t>
        </is>
      </c>
    </row>
    <row r="15" ht="30" customHeight="1" s="45">
      <c r="A15" s="62" t="inlineStr">
        <is>
          <t>黄色单元格是填写区：“迭代清单”的状态、负责人、开始日期、截止日期、备注；“实验指标”各轮数值与备注。其余单元格自动计算或为固定内容。</t>
        </is>
      </c>
    </row>
    <row r="16" ht="30" customHeight="1" s="45">
      <c r="A16" s="62" t="inlineStr">
        <is>
          <t>状态用下拉选择：未开始、进行中、已完成、搁置。截止日期已过且未完成的会标红。</t>
        </is>
      </c>
    </row>
    <row r="17" ht="30" customHeight="1" s="45">
      <c r="A17" s="62" t="inlineStr">
        <is>
          <t>填写示例（格式参考，不是真实进度）：状态“进行中” · 负责人“张三” · 开始日期 2026-11-02 · 截止日期 2026-11-16 · 指标 0.35（显示为 35.0%）。</t>
        </is>
      </c>
    </row>
    <row r="18" ht="30" customHeight="1" s="45">
      <c r="A18" s="62" t="inlineStr">
        <is>
          <t>内容来源：基于此前关于「隔壁」迭代方向的讨论整理。</t>
        </is>
      </c>
    </row>
  </sheetData>
  <mergeCells count="5">
    <mergeCell ref="A17:G17"/>
    <mergeCell ref="A18:G18"/>
    <mergeCell ref="A16:G16"/>
    <mergeCell ref="B11:E11"/>
    <mergeCell ref="A15:G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7" customWidth="1" style="44" min="1" max="1"/>
    <col width="12" customWidth="1" style="44" min="2" max="2"/>
    <col width="22" customWidth="1" style="44" min="3" max="3"/>
    <col width="30" customWidth="1" style="44" min="4" max="4"/>
    <col width="44" customWidth="1" style="44" min="5" max="5"/>
    <col width="30" customWidth="1" style="44" min="6" max="6"/>
    <col width="26" customWidth="1" style="44" min="7" max="7"/>
    <col width="10" customWidth="1" style="44" min="8" max="9"/>
    <col width="12" customWidth="1" style="44" min="10" max="11"/>
    <col width="24" customWidth="1" style="44" min="12" max="12"/>
  </cols>
  <sheetData>
    <row r="1" ht="24" customHeight="1" s="45">
      <c r="A1" s="63" t="inlineStr">
        <is>
          <t>编号</t>
        </is>
      </c>
      <c r="B1" s="63" t="inlineStr">
        <is>
          <t>阶段</t>
        </is>
      </c>
      <c r="C1" s="63" t="inlineStr">
        <is>
          <t>迭代项</t>
        </is>
      </c>
      <c r="D1" s="63" t="inlineStr">
        <is>
          <t>要解决的问题</t>
        </is>
      </c>
      <c r="E1" s="63" t="inlineStr">
        <is>
          <t>具体做法</t>
        </is>
      </c>
      <c r="F1" s="63" t="inlineStr">
        <is>
          <t>依据（文稿与讨论）</t>
        </is>
      </c>
      <c r="G1" s="63" t="inlineStr">
        <is>
          <t>验证指标</t>
        </is>
      </c>
      <c r="H1" s="63" t="inlineStr">
        <is>
          <t>状态</t>
        </is>
      </c>
      <c r="I1" s="63" t="inlineStr">
        <is>
          <t>负责人</t>
        </is>
      </c>
      <c r="J1" s="63" t="inlineStr">
        <is>
          <t>开始日期</t>
        </is>
      </c>
      <c r="K1" s="63" t="inlineStr">
        <is>
          <t>截止日期</t>
        </is>
      </c>
      <c r="L1" s="63" t="inlineStr">
        <is>
          <t>备注</t>
        </is>
      </c>
    </row>
    <row r="2" ht="43.5" customHeight="1" s="45">
      <c r="A2" s="64" t="n">
        <v>1</v>
      </c>
      <c r="B2" s="64" t="inlineStr">
        <is>
          <t>P0 实验前</t>
        </is>
      </c>
      <c r="C2" s="80" t="inlineStr">
        <is>
          <t>地址精度改到城市级</t>
        </is>
      </c>
      <c r="D2" s="82" t="inlineStr">
        <is>
          <t>选址精确到约十米，等于在公开地图上标出住处；国内公开发布地图类产品通常需要审图号</t>
        </is>
      </c>
      <c r="E2" s="82" t="inlineStr">
        <is>
          <t>默认只显示到城市；坐标做模糊处理；不对外暴露精确点位；上线前请专业人士确认审图要求</t>
        </is>
      </c>
      <c r="F2" s="82" t="inlineStr">
        <is>
          <t>原型自身引入的隐私与合规风险</t>
        </is>
      </c>
      <c r="G2" s="82" t="inlineStr">
        <is>
          <t>上线前完成隐私处理与合规确认</t>
        </is>
      </c>
      <c r="H2" s="83" t="inlineStr">
        <is>
          <t>进行中</t>
        </is>
      </c>
      <c r="I2" s="84" t="n"/>
      <c r="J2" s="85" t="n">
        <v>46316</v>
      </c>
      <c r="K2" s="85" t="n"/>
      <c r="L2" s="70" t="inlineStr">
        <is>
          <t>代码部分已完成（v4）：选址吸附到最近城市并随机偏移，只显示到 0.1°。审图号要求待专业人士确认。</t>
        </is>
      </c>
    </row>
    <row r="3" ht="43.5" customHeight="1" s="45">
      <c r="A3" s="64" t="n">
        <v>2</v>
      </c>
      <c r="B3" s="64" t="inlineStr">
        <is>
          <t>P0 实验前</t>
        </is>
      </c>
      <c r="C3" s="80" t="inlineStr">
        <is>
          <t>访客记录与“留言 → 回复”闭环</t>
        </is>
      </c>
      <c r="D3" s="82" t="inlineStr">
        <is>
          <t>房间被看了，房主却不知道；缺少回访理由</t>
        </is>
      </c>
      <c r="E3" s="82" t="inlineStr">
        <is>
          <t>自动记录访客；由 Bit 汇总成一句话（例：今晚 @pixelmo 来过，玩了你的游戏，在黑板上留了言）；房主可直接回复，回复通知到对方</t>
        </is>
      </c>
      <c r="F3" s="81" t="inlineStr">
        <is>
          <t>QQ 空间“谁看过我”；文稿“首次有效反馈等待时间”“重复交流”</t>
        </is>
      </c>
      <c r="G3" s="82" t="inlineStr">
        <is>
          <t>首次回应的等待时间；重复互动的人员组合</t>
        </is>
      </c>
      <c r="H3" s="83" t="inlineStr">
        <is>
          <t>已完成</t>
        </is>
      </c>
      <c r="I3" s="84" t="n"/>
      <c r="J3" s="85" t="n">
        <v>46316</v>
      </c>
      <c r="K3" s="85" t="n">
        <v>46316</v>
      </c>
      <c r="L3" s="84" t="inlineStr">
        <is>
          <t>v4：访客自动记录；Bit 和访客簿汇总新访客与留言；房主可直接回复；对方下次打开时在“动态”里看到（站内提醒，无推送）。</t>
        </is>
      </c>
    </row>
    <row r="4" ht="29.25" customHeight="1" s="45">
      <c r="A4" s="64" t="n">
        <v>3</v>
      </c>
      <c r="B4" s="64" t="inlineStr">
        <is>
          <t>P0 实验前</t>
        </is>
      </c>
      <c r="C4" s="80" t="inlineStr">
        <is>
          <t>单文件作品托管</t>
        </is>
      </c>
      <c r="D4" s="82" t="inlineStr">
        <is>
          <t>绑定外部网址很脆弱，很多网站禁止被嵌入，实验时一定有人卡住</t>
        </is>
      </c>
      <c r="E4" s="82" t="inlineStr">
        <is>
          <t>支持上传或粘贴单个 HTML 文件，由平台托管；作品一定能打开，可接入 SDK 与物件同步；审核有抓手</t>
        </is>
      </c>
      <c r="F4" s="81" t="inlineStr">
        <is>
          <t>AI 做出来的作品大多是单个 HTML 文件</t>
        </is>
      </c>
      <c r="G4" s="82" t="inlineStr">
        <is>
          <t>作品成功在房间内打开的比例</t>
        </is>
      </c>
      <c r="H4" s="83" t="inlineStr">
        <is>
          <t>已完成</t>
        </is>
      </c>
      <c r="I4" s="84" t="n"/>
      <c r="J4" s="85" t="n">
        <v>46316</v>
      </c>
      <c r="K4" s="85" t="n">
        <v>46316</v>
      </c>
      <c r="L4" s="84" t="inlineStr">
        <is>
          <t>v4：上传或粘贴单个 HTML（≤200 KB），在隔离沙箱中运行，可接 SDK。</t>
        </is>
      </c>
    </row>
    <row r="5" ht="29.25" customHeight="1" s="45">
      <c r="A5" s="64" t="n">
        <v>4</v>
      </c>
      <c r="B5" s="64" t="inlineStr">
        <is>
          <t>P0 实验前</t>
        </is>
      </c>
      <c r="C5" s="80" t="inlineStr">
        <is>
          <t>账号与云端存储</t>
        </is>
      </c>
      <c r="D5" s="82" t="inlineStr">
        <is>
          <t>所有数据只存在浏览器本地，无法多人实验</t>
        </is>
      </c>
      <c r="E5" s="82" t="inlineStr">
        <is>
          <t>账号体系；房间、留言、访客数据存到云端</t>
        </is>
      </c>
      <c r="F5" s="82" t="inlineStr">
        <is>
          <t>开放工作室实验的前提</t>
        </is>
      </c>
      <c r="G5" s="82" t="inlineStr">
        <is>
          <t>实验可多人运行</t>
        </is>
      </c>
      <c r="H5" s="83" t="inlineStr">
        <is>
          <t>已完成</t>
        </is>
      </c>
      <c r="I5" s="84" t="n"/>
      <c r="J5" s="85" t="n">
        <v>46316</v>
      </c>
      <c r="K5" s="85" t="n">
        <v>46316</v>
      </c>
      <c r="L5" s="84" t="inlineStr">
        <is>
          <t>v4：用 claude.ai 账号作为身份；数据存在页面的共享数据库，每人只能写自己的房间、留言和访客记录。参与者需在分享菜单设为“参与者”。</t>
        </is>
      </c>
    </row>
    <row r="6" ht="29.25" customHeight="1" s="45">
      <c r="A6" s="64" t="n">
        <v>5</v>
      </c>
      <c r="B6" s="64" t="inlineStr">
        <is>
          <t>P0 实验前</t>
        </is>
      </c>
      <c r="C6" s="80" t="inlineStr">
        <is>
          <t>房间分享卡片</t>
        </is>
      </c>
      <c r="D6" s="82" t="inlineStr">
        <is>
          <t>种子用户邀请与二次传播缺少载体</t>
        </is>
      </c>
      <c r="E6" s="82" t="inlineStr">
        <is>
          <t>自动生成房间截图，带城市和门牌号，适合发微信和小红书</t>
        </is>
      </c>
      <c r="F6" s="82" t="inlineStr">
        <is>
          <t>种子用户邀请与二次传播</t>
        </is>
      </c>
      <c r="G6" s="82" t="inlineStr">
        <is>
          <t>通过分享卡片进入的新访客</t>
        </is>
      </c>
      <c r="H6" s="83" t="inlineStr">
        <is>
          <t>已完成</t>
        </is>
      </c>
      <c r="I6" s="84" t="n"/>
      <c r="J6" s="85" t="n">
        <v>46316</v>
      </c>
      <c r="K6" s="85" t="n">
        <v>46316</v>
      </c>
      <c r="L6" s="84" t="inlineStr">
        <is>
          <t>v4：1080×1440 卡片，可保存图片、复制直达房间的链接。</t>
        </is>
      </c>
    </row>
    <row r="7" ht="43.5" customHeight="1" s="45">
      <c r="A7" s="72" t="n">
        <v>6</v>
      </c>
      <c r="B7" s="72" t="inlineStr">
        <is>
          <t>P1 实验中</t>
        </is>
      </c>
      <c r="C7" s="80" t="inlineStr">
        <is>
          <t>物件收藏与改编</t>
        </is>
      </c>
      <c r="D7" s="82" t="inlineStr">
        <is>
          <t>不创作的人缺少参与方式；物件的收藏意义来自主人的表达，所以物件要能被主人改成自己的样子</t>
        </is>
      </c>
      <c r="E7" s="82" t="inlineStr">
        <is>
          <t>收藏：把喜欢的物件放进自己房间的展台，保留原作者署名，访客点开可链回作者。改编：复制一份成自己的版本（托管作品一并复制），署名和改编链一直保留。作者能在访客簿看到被收藏、被改编的次数。</t>
        </is>
      </c>
      <c r="F7" s="82" t="inlineStr">
        <is>
          <t>豆瓣式标记与策展；文稿“消费者转化为生产者”</t>
        </is>
      </c>
      <c r="G7" s="82" t="inlineStr">
        <is>
          <t>收藏或策展行为的人数占比</t>
        </is>
      </c>
      <c r="H7" s="83" t="inlineStr">
        <is>
          <t>已完成</t>
        </is>
      </c>
      <c r="I7" s="84" t="n"/>
      <c r="J7" s="85" t="n">
        <v>46316</v>
      </c>
      <c r="K7" s="85" t="n">
        <v>46316</v>
      </c>
      <c r="L7" s="84" t="inlineStr">
        <is>
          <t>v5：收藏品展台、改编、署名与改编链、作者端提醒。</t>
        </is>
      </c>
    </row>
    <row r="8" ht="29.25" customHeight="1" s="45">
      <c r="A8" s="72" t="n">
        <v>7</v>
      </c>
      <c r="B8" s="72" t="inlineStr">
        <is>
          <t>P1 实验中</t>
        </is>
      </c>
      <c r="C8" s="80" t="inlineStr">
        <is>
          <t>主题周：“理想中的深夜小店”</t>
        </is>
      </c>
      <c r="D8" s="82" t="inlineStr">
        <is>
          <t>陌生人缺少共同对象；空间里缺少持续发生的事</t>
        </is>
      </c>
      <c r="E8" s="82" t="inlineStr">
        <is>
          <t>全员布置同一主题的房间；地球上点亮一张主题地图；结束后把活动归档</t>
        </is>
      </c>
      <c r="F8" s="82" t="inlineStr">
        <is>
          <t>文稿从豆瓣得出的“共同对象”；阿尔法城之问：空间里会持续发生什么</t>
        </is>
      </c>
      <c r="G8" s="82" t="inlineStr">
        <is>
          <t>第二、三周重复互动的人员组合</t>
        </is>
      </c>
      <c r="H8" s="83" t="inlineStr">
        <is>
          <t>已完成</t>
        </is>
      </c>
      <c r="I8" s="84" t="n"/>
      <c r="J8" s="85" t="n">
        <v>46316</v>
      </c>
      <c r="K8" s="85" t="n">
        <v>46316</v>
      </c>
      <c r="L8" s="84" t="inlineStr">
        <is>
          <t>v5：每周自动轮换主题；参加的房间在地球上亮灯、其余变暗；往期归档。当前部分参与者是演示数据。</t>
        </is>
      </c>
    </row>
    <row r="9" ht="29.25" customHeight="1" s="45">
      <c r="A9" s="72" t="n">
        <v>8</v>
      </c>
      <c r="B9" s="72" t="inlineStr">
        <is>
          <t>P1 实验中</t>
        </is>
      </c>
      <c r="C9" s="80" t="inlineStr">
        <is>
          <t>平铺的“物件流”作为发现入口</t>
        </is>
      </c>
      <c r="D9" s="82" t="inlineStr">
        <is>
          <t>飞过去、推门、走进去才能看到东西，成本太高</t>
        </is>
      </c>
      <c r="E9" s="81" t="inlineStr">
        <is>
          <t>10 秒能看懂、可直接试玩的物件卡片流；房间是目的地，物件流是街道</t>
        </is>
      </c>
      <c r="F9" s="82" t="inlineStr">
        <is>
          <t>文稿：作品形式越丰富，理解和回应越要轻；3D 展示身份，2D 负责发现</t>
        </is>
      </c>
      <c r="G9" s="82" t="inlineStr">
        <is>
          <t>收到非熟人真实回应的房间占比</t>
        </is>
      </c>
      <c r="H9" s="83" t="inlineStr">
        <is>
          <t>已完成</t>
        </is>
      </c>
      <c r="I9" s="84" t="n"/>
      <c r="J9" s="85" t="n">
        <v>46316</v>
      </c>
      <c r="K9" s="85" t="n">
        <v>46316</v>
      </c>
      <c r="L9" s="84" t="inlineStr">
        <is>
          <t>v5：首页“逛物件流”；分类筛选；站内直接试玩；收藏、改编、当场给作者留一句话。</t>
        </is>
      </c>
    </row>
    <row r="10" ht="29.25" customHeight="1" s="45">
      <c r="A10" s="72" t="n">
        <v>9</v>
      </c>
      <c r="B10" s="72" t="inlineStr">
        <is>
          <t>P1 实验中</t>
        </is>
      </c>
      <c r="C10" s="73" t="inlineStr">
        <is>
          <t>Agent 从“陪聊”改为“转达”</t>
        </is>
      </c>
      <c r="D10" s="82" t="inlineStr">
        <is>
          <t>访客可能只和 Bit 聊天，关系被机器人截住</t>
        </is>
      </c>
      <c r="E10" s="81" t="inlineStr">
        <is>
          <t>Bit 负责接待、介绍作品，并把访客引向房主：帮忙留言、预约、提醒房主回复，不替房主社交</t>
        </is>
      </c>
      <c r="F10" s="81" t="inlineStr">
        <is>
          <t>Agent 是中介，不替代人与人的关系</t>
        </is>
      </c>
      <c r="G10" s="82" t="inlineStr">
        <is>
          <t>首次回应的等待时间</t>
        </is>
      </c>
      <c r="H10" s="83" t="inlineStr">
        <is>
          <t>已完成</t>
        </is>
      </c>
      <c r="I10" s="84" t="n"/>
      <c r="J10" s="85" t="n">
        <v>46316</v>
      </c>
      <c r="K10" s="85" t="n">
        <v>46316</v>
      </c>
      <c r="L10" s="84" t="inlineStr">
        <is>
          <t>v5：Bit 改为接待与转达：留言、预约、提醒回复（6 小时限一次）；房主端汇总待回复。</t>
        </is>
      </c>
    </row>
    <row r="11" ht="15" customHeight="1" s="45">
      <c r="A11" s="79" t="n">
        <v>10</v>
      </c>
      <c r="B11" s="79" t="inlineStr">
        <is>
          <t>P2 有信号后</t>
        </is>
      </c>
      <c r="C11" s="80" t="inlineStr">
        <is>
          <t>多人同时在场</t>
        </is>
      </c>
      <c r="D11" s="81" t="inlineStr">
        <is>
          <t>—</t>
        </is>
      </c>
      <c r="E11" s="82" t="inlineStr">
        <is>
          <t>其他访客的头像、表情</t>
        </is>
      </c>
      <c r="F11" s="82" t="inlineStr">
        <is>
          <t>依赖前面的机制先被验证</t>
        </is>
      </c>
      <c r="G11" s="81" t="inlineStr">
        <is>
          <t>—</t>
        </is>
      </c>
      <c r="H11" s="83" t="inlineStr">
        <is>
          <t>未开始</t>
        </is>
      </c>
      <c r="I11" s="84" t="n"/>
      <c r="J11" s="85" t="n"/>
      <c r="K11" s="85" t="n"/>
      <c r="L11" s="84" t="n"/>
    </row>
    <row r="12" ht="29.25" customHeight="1" s="45">
      <c r="A12" s="79" t="n">
        <v>11</v>
      </c>
      <c r="B12" s="79" t="inlineStr">
        <is>
          <t>P2 有信号后</t>
        </is>
      </c>
      <c r="C12" s="80" t="inlineStr">
        <is>
          <t>物件与主题市场、创作者分成</t>
        </is>
      </c>
      <c r="D12" s="81" t="inlineStr">
        <is>
          <t>—</t>
        </is>
      </c>
      <c r="E12" s="82" t="inlineStr">
        <is>
          <t>物件与主题上架交易，创作者获得分成</t>
        </is>
      </c>
      <c r="F12" s="82" t="inlineStr">
        <is>
          <t>依赖前面的机制先被验证</t>
        </is>
      </c>
      <c r="G12" s="81" t="inlineStr">
        <is>
          <t>—</t>
        </is>
      </c>
      <c r="H12" s="83" t="inlineStr">
        <is>
          <t>未开始</t>
        </is>
      </c>
      <c r="I12" s="84" t="n"/>
      <c r="J12" s="85" t="n"/>
      <c r="K12" s="85" t="n"/>
      <c r="L12" s="84" t="n"/>
    </row>
    <row r="13" ht="15" customHeight="1" s="45">
      <c r="A13" s="79" t="n">
        <v>12</v>
      </c>
      <c r="B13" s="79" t="inlineStr">
        <is>
          <t>P2 有信号后</t>
        </is>
      </c>
      <c r="C13" s="80" t="inlineStr">
        <is>
          <t>一句话装修</t>
        </is>
      </c>
      <c r="D13" s="81" t="inlineStr">
        <is>
          <t>—</t>
        </is>
      </c>
      <c r="E13" s="82" t="inlineStr">
        <is>
          <t>对 Agent 说一句话就完成装修</t>
        </is>
      </c>
      <c r="F13" s="82" t="inlineStr">
        <is>
          <t>依赖前面的机制先被验证</t>
        </is>
      </c>
      <c r="G13" s="81" t="inlineStr">
        <is>
          <t>—</t>
        </is>
      </c>
      <c r="H13" s="83" t="inlineStr">
        <is>
          <t>未开始</t>
        </is>
      </c>
      <c r="I13" s="84" t="n"/>
      <c r="J13" s="85" t="n"/>
      <c r="K13" s="85" t="n"/>
      <c r="L13" s="84" t="n"/>
    </row>
    <row r="14" ht="15" customHeight="1" s="45">
      <c r="A14" s="79" t="n">
        <v>13</v>
      </c>
      <c r="B14" s="79" t="inlineStr">
        <is>
          <t>P2 有信号后</t>
        </is>
      </c>
      <c r="C14" s="80" t="inlineStr">
        <is>
          <t>机构房间</t>
        </is>
      </c>
      <c r="D14" s="81" t="inlineStr">
        <is>
          <t>—</t>
        </is>
      </c>
      <c r="E14" s="82" t="inlineStr">
        <is>
          <t>招聘方、游戏 IP 方的同人街区等机构入驻</t>
        </is>
      </c>
      <c r="F14" s="82" t="inlineStr">
        <is>
          <t>依赖前面的机制先被验证</t>
        </is>
      </c>
      <c r="G14" s="81" t="inlineStr">
        <is>
          <t>—</t>
        </is>
      </c>
      <c r="H14" s="83" t="inlineStr">
        <is>
          <t>未开始</t>
        </is>
      </c>
      <c r="I14" s="84" t="n"/>
      <c r="J14" s="85" t="n"/>
      <c r="K14" s="85" t="n"/>
      <c r="L14" s="84" t="n"/>
    </row>
    <row r="15" ht="15" customHeight="1" s="45">
      <c r="A15" s="79" t="n">
        <v>14</v>
      </c>
      <c r="B15" s="79" t="inlineStr">
        <is>
          <t>P2 有信号后</t>
        </is>
      </c>
      <c r="C15" s="80" t="inlineStr">
        <is>
          <t>移动端性能深度优化</t>
        </is>
      </c>
      <c r="D15" s="81" t="inlineStr">
        <is>
          <t>—</t>
        </is>
      </c>
      <c r="E15" s="82" t="inlineStr">
        <is>
          <t>针对手机的渲染与交互深度优化</t>
        </is>
      </c>
      <c r="F15" s="82" t="inlineStr">
        <is>
          <t>依赖前面的机制先被验证</t>
        </is>
      </c>
      <c r="G15" s="81" t="inlineStr">
        <is>
          <t>—</t>
        </is>
      </c>
      <c r="H15" s="83" t="inlineStr">
        <is>
          <t>未开始</t>
        </is>
      </c>
      <c r="I15" s="84" t="n"/>
      <c r="J15" s="85" t="n"/>
      <c r="K15" s="85" t="n"/>
      <c r="L15" s="84" t="n"/>
    </row>
    <row r="16" ht="29.25" customHeight="1" s="45">
      <c r="A16" s="75" t="n">
        <v>15</v>
      </c>
      <c r="B16" s="76" t="inlineStr">
        <is>
          <t>暂缓</t>
        </is>
      </c>
      <c r="C16" s="80" t="inlineStr">
        <is>
          <t>更多房间模板</t>
        </is>
      </c>
      <c r="D16" s="81" t="inlineStr">
        <is>
          <t>—</t>
        </is>
      </c>
      <c r="E16" s="82" t="inlineStr">
        <is>
          <t>先砍掉</t>
        </is>
      </c>
      <c r="F16" s="82" t="inlineStr">
        <is>
          <t>现有视觉水准已足够融资，继续投入换不来文稿问题的答案</t>
        </is>
      </c>
      <c r="G16" s="81" t="inlineStr">
        <is>
          <t>—</t>
        </is>
      </c>
      <c r="H16" s="83" t="inlineStr">
        <is>
          <t>搁置</t>
        </is>
      </c>
      <c r="I16" s="84" t="n"/>
      <c r="J16" s="85" t="n"/>
      <c r="K16" s="85" t="n"/>
      <c r="L16" s="84" t="n"/>
    </row>
    <row r="17" ht="15" customHeight="1" s="45">
      <c r="A17" s="75" t="n">
        <v>16</v>
      </c>
      <c r="B17" s="76" t="inlineStr">
        <is>
          <t>暂缓</t>
        </is>
      </c>
      <c r="C17" s="80" t="inlineStr">
        <is>
          <t>更多家具</t>
        </is>
      </c>
      <c r="D17" s="81" t="inlineStr">
        <is>
          <t>—</t>
        </is>
      </c>
      <c r="E17" s="82" t="inlineStr">
        <is>
          <t>先砍掉</t>
        </is>
      </c>
      <c r="F17" s="82" t="inlineStr">
        <is>
          <t>同上</t>
        </is>
      </c>
      <c r="G17" s="81" t="inlineStr">
        <is>
          <t>—</t>
        </is>
      </c>
      <c r="H17" s="83" t="inlineStr">
        <is>
          <t>搁置</t>
        </is>
      </c>
      <c r="I17" s="84" t="n"/>
      <c r="J17" s="85" t="n"/>
      <c r="K17" s="85" t="n"/>
      <c r="L17" s="84" t="n"/>
    </row>
    <row r="18" ht="15" customHeight="1" s="45">
      <c r="A18" s="75" t="n">
        <v>17</v>
      </c>
      <c r="B18" s="76" t="inlineStr">
        <is>
          <t>暂缓</t>
        </is>
      </c>
      <c r="C18" s="80" t="inlineStr">
        <is>
          <t>更炫的特效</t>
        </is>
      </c>
      <c r="D18" s="81" t="inlineStr">
        <is>
          <t>—</t>
        </is>
      </c>
      <c r="E18" s="82" t="inlineStr">
        <is>
          <t>先砍掉</t>
        </is>
      </c>
      <c r="F18" s="82" t="inlineStr">
        <is>
          <t>同上</t>
        </is>
      </c>
      <c r="G18" s="81" t="inlineStr">
        <is>
          <t>—</t>
        </is>
      </c>
      <c r="H18" s="83" t="inlineStr">
        <is>
          <t>搁置</t>
        </is>
      </c>
      <c r="I18" s="84" t="n"/>
      <c r="J18" s="85" t="n"/>
      <c r="K18" s="85" t="n"/>
      <c r="L18" s="84" t="n"/>
    </row>
    <row r="19" ht="29.25" customHeight="1" s="45">
      <c r="A19" s="72" t="n">
        <v>18</v>
      </c>
      <c r="B19" s="72" t="inlineStr">
        <is>
          <t>P1 实验中</t>
        </is>
      </c>
      <c r="C19" s="77" t="inlineStr">
        <is>
          <t>物件外观轻定制</t>
        </is>
      </c>
      <c r="D19" s="82" t="inlineStr">
        <is>
          <t>物件只能摆放，主人没法表达自己；没有表达，收藏就没有意义</t>
        </is>
      </c>
      <c r="E19" s="78" t="inlineStr">
        <is>
          <t>每件作品物件可选主题色，展示屏和街机会换成这个颜色；改编的作品可以先从换色开始。</t>
        </is>
      </c>
      <c r="F19" s="78" t="inlineStr">
        <is>
          <t>讨论中对“物件是否能自定义”的判断：收藏的意义在于主人的表达</t>
        </is>
      </c>
      <c r="G19" s="82" t="inlineStr">
        <is>
          <t>有换色或改名的作品物件占比</t>
        </is>
      </c>
      <c r="H19" s="83" t="inlineStr">
        <is>
          <t>已完成</t>
        </is>
      </c>
      <c r="I19" s="84" t="n"/>
      <c r="J19" s="85" t="n">
        <v>46316</v>
      </c>
      <c r="K19" s="85" t="n">
        <v>46316</v>
      </c>
      <c r="L19" s="84" t="inlineStr">
        <is>
          <t>v5：已上线主题色。</t>
        </is>
      </c>
    </row>
    <row r="20" ht="15" customHeight="1" s="45">
      <c r="A20" s="79" t="n">
        <v>19</v>
      </c>
      <c r="B20" s="79" t="inlineStr">
        <is>
          <t>P2 有信号后</t>
        </is>
      </c>
      <c r="C20" s="80" t="inlineStr">
        <is>
          <t>自定义物件外壳</t>
        </is>
      </c>
      <c r="D20" s="81" t="inlineStr">
        <is>
          <t>—</t>
        </is>
      </c>
      <c r="E20" s="82" t="inlineStr">
        <is>
          <t>允许用户为物件上传自己的贴图或简单模型，让物件本身成为原创表达；需要体积限制与审核。</t>
        </is>
      </c>
      <c r="F20" s="82" t="inlineStr">
        <is>
          <t>依赖前面的收藏与改编机制先被验证</t>
        </is>
      </c>
      <c r="G20" s="81" t="inlineStr">
        <is>
          <t>—</t>
        </is>
      </c>
      <c r="H20" s="83" t="inlineStr">
        <is>
          <t>未开始</t>
        </is>
      </c>
      <c r="I20" s="84" t="n"/>
      <c r="J20" s="85" t="n"/>
      <c r="K20" s="85" t="n"/>
      <c r="L20" s="84" t="n"/>
    </row>
    <row r="21" ht="15" customHeight="1" s="45">
      <c r="A21" s="79" t="inlineStr">
        <is>
          <t>20</t>
        </is>
      </c>
      <c r="B21" s="79" t="inlineStr">
        <is>
          <t>P1 实验中</t>
        </is>
      </c>
      <c r="C21" s="80" t="inlineStr">
        <is>
          <t>没有房间也能收藏（口袋）</t>
        </is>
      </c>
      <c r="D21" s="81" t="inlineStr">
        <is>
          <t>不写代码的访客点“收藏”被拦下，收藏指标被压到接近 0</t>
        </is>
      </c>
      <c r="E21" s="82" t="inlineStr">
        <is>
          <t>收藏先放进口袋；参与者的口袋跟账号走，查看者的存在本机；入住时一键摆进房间</t>
        </is>
      </c>
      <c r="F21" s="82" t="inlineStr">
        <is>
          <t>模拟用户体验报告：苏晴、王敏</t>
        </is>
      </c>
      <c r="G21" s="81" t="inlineStr">
        <is>
          <t>收藏或策展行为的人数占比</t>
        </is>
      </c>
      <c r="H21" s="83" t="inlineStr">
        <is>
          <t>已完成</t>
        </is>
      </c>
      <c r="I21" s="84" t="inlineStr"/>
      <c r="J21" s="85" t="n">
        <v>46317</v>
      </c>
      <c r="K21" s="85" t="n">
        <v>46317</v>
      </c>
      <c r="L21" s="84" t="inlineStr">
        <is>
          <t>v6</t>
        </is>
      </c>
    </row>
    <row r="22" ht="15" customHeight="1" s="45">
      <c r="A22" s="79" t="inlineStr">
        <is>
          <t>21</t>
        </is>
      </c>
      <c r="B22" s="79" t="inlineStr">
        <is>
          <t>P1 实验中</t>
        </is>
      </c>
      <c r="C22" s="80" t="inlineStr">
        <is>
          <t>房间名片</t>
        </is>
      </c>
      <c r="D22" s="81" t="inlineStr">
        <is>
          <t>招聘方和合作者找不到介绍和联系方式</t>
        </is>
      </c>
      <c r="E22" s="82" t="inlineStr">
        <is>
          <t>一句话介绍、技术栈、GitHub、主页、公开联系方式、在看机会/欢迎合作；显示在门牌、住户面板、“关于房主”</t>
        </is>
      </c>
      <c r="F22" s="82" t="inlineStr">
        <is>
          <t>模拟用户体验报告：王敏</t>
        </is>
      </c>
      <c r="G22" s="81" t="inlineStr">
        <is>
          <t>通过名片发起联系的次数（待埋点）</t>
        </is>
      </c>
      <c r="H22" s="83" t="inlineStr">
        <is>
          <t>已完成</t>
        </is>
      </c>
      <c r="I22" s="84" t="inlineStr"/>
      <c r="J22" s="85" t="n">
        <v>46317</v>
      </c>
      <c r="K22" s="85" t="n">
        <v>46317</v>
      </c>
      <c r="L22" s="84" t="inlineStr">
        <is>
          <t>v6</t>
        </is>
      </c>
    </row>
    <row r="23" ht="15" customHeight="1" s="45">
      <c r="A23" s="79" t="inlineStr">
        <is>
          <t>22</t>
        </is>
      </c>
      <c r="B23" s="79" t="inlineStr">
        <is>
          <t>P0 实验前</t>
        </is>
      </c>
      <c r="C23" s="80" t="inlineStr">
        <is>
          <t>新住户上手：待上传清单与冷启动</t>
        </is>
      </c>
      <c r="D23" s="81" t="inlineStr">
        <is>
          <t>入住后的作品多是空屏；新住户拿不到第一个访客</t>
        </is>
      </c>
      <c r="E23" s="82" t="inlineStr">
        <is>
          <t>入住后“待上传”清单；物件库自动找空位；空作品在物件流沉底并标注；Bit 推荐三位附近邻居、邀请参加主题周</t>
        </is>
      </c>
      <c r="F23" s="82" t="inlineStr">
        <is>
          <t>模拟用户体验报告：林卓、小陈</t>
        </is>
      </c>
      <c r="G23" s="81" t="inlineStr">
        <is>
          <t>作品成功在房间内打开的比例；新住户首周收到回应的比例</t>
        </is>
      </c>
      <c r="H23" s="83" t="inlineStr">
        <is>
          <t>已完成</t>
        </is>
      </c>
      <c r="I23" s="84" t="inlineStr"/>
      <c r="J23" s="85" t="n">
        <v>46317</v>
      </c>
      <c r="K23" s="85" t="n">
        <v>46317</v>
      </c>
      <c r="L23" s="84" t="inlineStr">
        <is>
          <t>v6</t>
        </is>
      </c>
    </row>
    <row r="24" ht="15" customHeight="1" s="45">
      <c r="A24" s="79" t="inlineStr">
        <is>
          <t>23</t>
        </is>
      </c>
      <c r="B24" s="79" t="inlineStr">
        <is>
          <t>P0 实验前</t>
        </is>
      </c>
      <c r="C24" s="80" t="inlineStr">
        <is>
          <t>来源与打开结果埋点</t>
        </is>
      </c>
      <c r="D24" s="81" t="inlineStr">
        <is>
          <t>指标量不出来：来访没有来源，打开失败没有记录</t>
        </is>
      </c>
      <c r="E24" s="82" t="inlineStr">
        <is>
          <t>来访记录带来源 via；作品窗口记录已接入/未接入/加载失败；分享链接带 from=share</t>
        </is>
      </c>
      <c r="F24" s="82" t="inlineStr">
        <is>
          <t>模拟用户体验报告“验证指标”一节</t>
        </is>
      </c>
      <c r="G24" s="81" t="inlineStr">
        <is>
          <t>让北极星和打开率可计算</t>
        </is>
      </c>
      <c r="H24" s="83" t="inlineStr">
        <is>
          <t>已完成</t>
        </is>
      </c>
      <c r="I24" s="84" t="inlineStr"/>
      <c r="J24" s="85" t="n">
        <v>46317</v>
      </c>
      <c r="K24" s="85" t="n">
        <v>46317</v>
      </c>
      <c r="L24" s="84" t="inlineStr">
        <is>
          <t>v6</t>
        </is>
      </c>
    </row>
    <row r="25" ht="15" customHeight="1" s="45">
      <c r="A25" s="79" t="inlineStr">
        <is>
          <t>24</t>
        </is>
      </c>
      <c r="B25" s="79" t="inlineStr">
        <is>
          <t>P1 实验中</t>
        </is>
      </c>
      <c r="C25" s="80" t="inlineStr">
        <is>
          <t>SDK 文档与窗口状态</t>
        </is>
      </c>
      <c r="D25" s="81" t="inlineStr">
        <is>
          <t>开发者找不到接入方式；加载失败被说成“已载入”</t>
        </is>
      </c>
      <c r="E25" s="82" t="inlineStr">
        <is>
          <t>docs/SDK.md；窗口内的接入说明；区分“未接入 SDK”与“加载失败”</t>
        </is>
      </c>
      <c r="F25" s="82" t="inlineStr">
        <is>
          <t>模拟用户体验报告：周屿</t>
        </is>
      </c>
      <c r="G25" s="81" t="inlineStr">
        <is>
          <t>已接入 SDK 的作品占比</t>
        </is>
      </c>
      <c r="H25" s="83" t="inlineStr">
        <is>
          <t>已完成</t>
        </is>
      </c>
      <c r="I25" s="84" t="inlineStr"/>
      <c r="J25" s="85" t="n">
        <v>46317</v>
      </c>
      <c r="K25" s="85" t="n">
        <v>46317</v>
      </c>
      <c r="L25" s="84" t="inlineStr">
        <is>
          <t>v6</t>
        </is>
      </c>
    </row>
    <row r="26" ht="15" customHeight="1" s="45">
      <c r="A26" s="79" t="inlineStr">
        <is>
          <t>25</t>
        </is>
      </c>
      <c r="B26" s="79" t="inlineStr">
        <is>
          <t>P0 实验前</t>
        </is>
      </c>
      <c r="C26" s="80" t="inlineStr">
        <is>
          <t>设计系统与界面改版</t>
        </is>
      </c>
      <c r="D26" s="81" t="inlineStr">
        <is>
          <t>界面观感陈旧；协作者没有统一的视觉规范</t>
        </is>
      </c>
      <c r="E26" s="82" t="inlineStr">
        <is>
          <t>styles/tokens.css 与组件样式；设计系统页面；检查脚本拦截颜色字面量和未定义 token</t>
        </is>
      </c>
      <c r="F26" s="82" t="inlineStr">
        <is>
          <t>产品负责人要求</t>
        </is>
      </c>
      <c r="G26" s="81" t="inlineStr">
        <is>
          <t>—</t>
        </is>
      </c>
      <c r="H26" s="83" t="inlineStr">
        <is>
          <t>已完成</t>
        </is>
      </c>
      <c r="I26" s="84" t="inlineStr"/>
      <c r="J26" s="85" t="n">
        <v>46317</v>
      </c>
      <c r="K26" s="85" t="n">
        <v>46317</v>
      </c>
      <c r="L26" s="84" t="inlineStr">
        <is>
          <t>v6</t>
        </is>
      </c>
    </row>
    <row r="27" ht="15" customHeight="1" s="45">
      <c r="A27" s="79" t="inlineStr">
        <is>
          <t>26</t>
        </is>
      </c>
      <c r="B27" s="79" t="inlineStr">
        <is>
          <t>P0 实验前</t>
        </is>
      </c>
      <c r="C27" s="80" t="inlineStr">
        <is>
          <t>协作开发规范</t>
        </is>
      </c>
      <c r="D27" s="81" t="inlineStr">
        <is>
          <t>邀请协作者之前缺少流程和约定</t>
        </is>
      </c>
      <c r="E27" s="82" t="inlineStr">
        <is>
          <t>CONTRIBUTING、架构与数据约定、PR 与 Issue 模板、CODEOWNERS、CI 检查</t>
        </is>
      </c>
      <c r="F27" s="82" t="inlineStr">
        <is>
          <t>产品负责人要求</t>
        </is>
      </c>
      <c r="G27" s="81" t="inlineStr">
        <is>
          <t>—</t>
        </is>
      </c>
      <c r="H27" s="83" t="inlineStr">
        <is>
          <t>已完成</t>
        </is>
      </c>
      <c r="I27" s="84" t="inlineStr"/>
      <c r="J27" s="85" t="n">
        <v>46317</v>
      </c>
      <c r="K27" s="85" t="n">
        <v>46317</v>
      </c>
      <c r="L27" s="84" t="inlineStr">
        <is>
          <t>v6：开源许可证待定</t>
        </is>
      </c>
    </row>
    <row r="28" ht="15" customHeight="1" s="45">
      <c r="A28" s="79" t="inlineStr">
        <is>
          <t>27</t>
        </is>
      </c>
      <c r="B28" s="79" t="inlineStr">
        <is>
          <t>P0 实验前</t>
        </is>
      </c>
      <c r="C28" s="80" t="inlineStr">
        <is>
          <t>迁到自己的后端</t>
        </is>
      </c>
      <c r="D28" s="81" t="inlineStr">
        <is>
          <t>组织外访客只有查看者权限，不能入住、留言，来访也不记录；公开招募种子用户前必须解决</t>
        </is>
      </c>
      <c r="E28" s="82" t="inlineStr">
        <is>
          <t>拆分模块 → 抽出数据访问层 → 自建后端 → 托管作品迁到独立域名</t>
        </is>
      </c>
      <c r="F28" s="82" t="inlineStr">
        <is>
          <t>模拟用户体验报告；Artifact 权限规则</t>
        </is>
      </c>
      <c r="G28" s="81" t="inlineStr">
        <is>
          <t>组织外访客能留言、留下来访记录</t>
        </is>
      </c>
      <c r="H28" s="83" t="inlineStr">
        <is>
          <t>未开始</t>
        </is>
      </c>
      <c r="I28" s="84" t="inlineStr"/>
      <c r="J28" s="85" t="n"/>
      <c r="K28" s="85" t="n"/>
      <c r="L28" s="84" t="inlineStr">
        <is>
          <t>见 docs/ARCHITECTURE.md</t>
        </is>
      </c>
    </row>
    <row r="29" ht="15" customHeight="1" s="45">
      <c r="A29" s="79" t="inlineStr">
        <is>
          <t>28</t>
        </is>
      </c>
      <c r="B29" s="79" t="inlineStr">
        <is>
          <t>P2 有信号后</t>
        </is>
      </c>
      <c r="C29" s="80" t="inlineStr">
        <is>
          <t>英文界面</t>
        </is>
      </c>
      <c r="D29" s="81" t="inlineStr">
        <is>
          <t>海外开发者看不懂中文界面</t>
        </is>
      </c>
      <c r="E29" s="82" t="inlineStr">
        <is>
          <t>字符串表与语言切换</t>
        </is>
      </c>
      <c r="F29" s="82" t="inlineStr">
        <is>
          <t>模拟用户体验报告：Kenji</t>
        </is>
      </c>
      <c r="G29" s="81" t="inlineStr">
        <is>
          <t>海外访客的停留时长</t>
        </is>
      </c>
      <c r="H29" s="83" t="inlineStr">
        <is>
          <t>未开始</t>
        </is>
      </c>
      <c r="I29" s="84" t="inlineStr"/>
      <c r="J29" s="85" t="n"/>
      <c r="K29" s="85" t="n"/>
      <c r="L29" s="84" t="inlineStr">
        <is>
          <t>v6 已支持英文城市名和日文汉字搜索；主题周统一按北京时间</t>
        </is>
      </c>
    </row>
  </sheetData>
  <autoFilter ref="A1:L20"/>
  <conditionalFormatting sqref="H2:H29">
    <cfRule type="cellIs" rank="0" priority="2" equalAverage="0" operator="equal" aboveAverage="0" dxfId="10" text="" percent="0" bottom="0">
      <formula>"已完成"</formula>
    </cfRule>
    <cfRule type="cellIs" rank="0" priority="3" equalAverage="0" operator="equal" aboveAverage="0" dxfId="11" text="" percent="0" bottom="0">
      <formula>"进行中"</formula>
    </cfRule>
  </conditionalFormatting>
  <conditionalFormatting sqref="K2:K29">
    <cfRule type="expression" rank="0" priority="4" equalAverage="0" aboveAverage="0" dxfId="12" text="" percent="0" bottom="0">
      <formula>AND(K2&lt;&gt;"",K2&lt;TODAY(),$H2&lt;&gt;"已完成",$H2&lt;&gt;"搁置")</formula>
    </cfRule>
  </conditionalFormatting>
  <dataValidations count="2">
    <dataValidation sqref="H2:H29" showDropDown="0" showInputMessage="0" showErrorMessage="1" allowBlank="1" errorTitle="状态" error="请从下拉列表选择：未开始、进行中、已完成、搁置" type="list" errorStyle="stop" operator="between">
      <formula1>"未开始,进行中,已完成,搁置"</formula1>
      <formula2>0</formula2>
    </dataValidation>
    <dataValidation sqref="J2:K29" showDropDown="0" showInputMessage="0" showErrorMessage="1" allowBlank="1" error="请填写日期，例如 2026-11-02" type="date" errorStyle="stop" operator="greaterThan">
      <formula1>DATE(2020,1,1)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22" customWidth="1" style="44" min="1" max="1"/>
    <col width="26" customWidth="1" style="44" min="2" max="2"/>
    <col width="44" customWidth="1" style="44" min="3" max="3"/>
    <col width="26" customWidth="1" style="44" min="4" max="4"/>
    <col width="8" customWidth="1" style="44" min="5" max="5"/>
    <col width="11" customWidth="1" style="44" min="6" max="8"/>
    <col width="12" customWidth="1" style="44" min="9" max="9"/>
    <col width="14" customWidth="1" style="44" min="10" max="10"/>
    <col width="24" customWidth="1" style="44" min="11" max="11"/>
  </cols>
  <sheetData>
    <row r="1" ht="24" customHeight="1" s="45">
      <c r="A1" s="63" t="inlineStr">
        <is>
          <t>文稿里的问题</t>
        </is>
      </c>
      <c r="B1" s="63" t="inlineStr">
        <is>
          <t>指标</t>
        </is>
      </c>
      <c r="C1" s="63" t="inlineStr">
        <is>
          <t>计算方式</t>
        </is>
      </c>
      <c r="D1" s="63" t="inlineStr">
        <is>
          <t>数据来源</t>
        </is>
      </c>
      <c r="E1" s="63" t="inlineStr">
        <is>
          <t>单位</t>
        </is>
      </c>
      <c r="F1" s="63" t="inlineStr">
        <is>
          <t>第 1 轮</t>
        </is>
      </c>
      <c r="G1" s="63" t="inlineStr">
        <is>
          <t>第 2 轮</t>
        </is>
      </c>
      <c r="H1" s="63" t="inlineStr">
        <is>
          <t>第 3 轮</t>
        </is>
      </c>
      <c r="I1" s="63" t="inlineStr">
        <is>
          <t>减少催促后</t>
        </is>
      </c>
      <c r="J1" s="63" t="inlineStr">
        <is>
          <t>第 3 轮较第 1 轮</t>
        </is>
      </c>
      <c r="K1" s="63" t="inlineStr">
        <is>
          <t>备注</t>
        </is>
      </c>
    </row>
    <row r="2" ht="43.5" customHeight="1" s="45">
      <c r="A2" s="82" t="inlineStr">
        <is>
          <t>被理解是否发生</t>
        </is>
      </c>
      <c r="B2" s="80" t="inlineStr">
        <is>
          <t>收到非熟人真实回应的房间占比（北极星指标）</t>
        </is>
      </c>
      <c r="C2" s="82" t="inlineStr">
        <is>
          <t>收到至少 1 条非熟人真实回应的房间数 ÷ 参与房间总数。真实回应须包含具体体验、理解或建议，单纯点赞不计</t>
        </is>
      </c>
      <c r="D2" s="82" t="inlineStr">
        <is>
          <t>访客记录与留言（迭代 2）</t>
        </is>
      </c>
      <c r="E2" s="86" t="inlineStr">
        <is>
          <t>%</t>
        </is>
      </c>
      <c r="F2" s="87" t="n"/>
      <c r="G2" s="87" t="n"/>
      <c r="H2" s="87" t="n"/>
      <c r="I2" s="87" t="n"/>
      <c r="J2" s="88">
        <f>IF(OR(F2="",H2=""),"",H2-F2)</f>
        <v/>
      </c>
      <c r="K2" s="84" t="n"/>
    </row>
    <row r="3" ht="29.25" customHeight="1" s="45">
      <c r="A3" s="82" t="inlineStr">
        <is>
          <t>发布后是否长时间无人回应</t>
        </is>
      </c>
      <c r="B3" s="80" t="inlineStr">
        <is>
          <t>首次回应的等待时间</t>
        </is>
      </c>
      <c r="C3" s="82" t="inlineStr">
        <is>
          <t>从房间或作品发布到收到第一条真实回应的时间，取中位数</t>
        </is>
      </c>
      <c r="D3" s="82" t="inlineStr">
        <is>
          <t>发布记录与留言时间</t>
        </is>
      </c>
      <c r="E3" s="89" t="inlineStr">
        <is>
          <t>小时</t>
        </is>
      </c>
      <c r="F3" s="90" t="n"/>
      <c r="G3" s="90" t="n"/>
      <c r="H3" s="90" t="n"/>
      <c r="I3" s="90" t="n"/>
      <c r="J3" s="91">
        <f>IF(OR(F3="",H3=""),"",H3-F3)</f>
        <v/>
      </c>
      <c r="K3" s="84" t="n"/>
    </row>
    <row r="4" ht="29.25" customHeight="1" s="45">
      <c r="A4" s="82" t="inlineStr">
        <is>
          <t>不创作的人能否留下来</t>
        </is>
      </c>
      <c r="B4" s="80" t="inlineStr">
        <is>
          <t>收藏或策展行为的人数占比</t>
        </is>
      </c>
      <c r="C4" s="82" t="inlineStr">
        <is>
          <t>有过收藏、把他人物件放进房间或推荐行为的成员数 ÷ 全体成员数</t>
        </is>
      </c>
      <c r="D4" s="82" t="inlineStr">
        <is>
          <t>物件收藏记录（迭代 6）</t>
        </is>
      </c>
      <c r="E4" s="86" t="inlineStr">
        <is>
          <t>%</t>
        </is>
      </c>
      <c r="F4" s="87" t="n"/>
      <c r="G4" s="87" t="n"/>
      <c r="H4" s="87" t="n"/>
      <c r="I4" s="87" t="n"/>
      <c r="J4" s="88">
        <f>IF(OR(F4="",H4=""),"",H4-F4)</f>
        <v/>
      </c>
      <c r="K4" s="84" t="n"/>
    </row>
    <row r="5" ht="15" customHeight="1" s="45">
      <c r="A5" s="82" t="inlineStr">
        <is>
          <t>活动之后还有没有关系</t>
        </is>
      </c>
      <c r="B5" s="80" t="inlineStr">
        <is>
          <t>第二、三周重复互动的人员组合</t>
        </is>
      </c>
      <c r="C5" s="82" t="inlineStr">
        <is>
          <t>在第二周和第三周都发生过互动的成员对数</t>
        </is>
      </c>
      <c r="D5" s="82" t="inlineStr">
        <is>
          <t>留言与访客记录</t>
        </is>
      </c>
      <c r="E5" s="89" t="inlineStr">
        <is>
          <t>对</t>
        </is>
      </c>
      <c r="F5" s="92" t="n"/>
      <c r="G5" s="92" t="n"/>
      <c r="H5" s="92" t="n"/>
      <c r="I5" s="92" t="n"/>
      <c r="J5" s="93">
        <f>IF(OR(F5="",H5=""),"",H5-F5)</f>
        <v/>
      </c>
      <c r="K5" s="84" t="n"/>
    </row>
    <row r="6" ht="29.25" customHeight="1" s="45">
      <c r="A6" s="82" t="inlineStr">
        <is>
          <t>是否依赖运营催促</t>
        </is>
      </c>
      <c r="B6" s="80" t="inlineStr">
        <is>
          <t>减少催促之后，以上指标的变化</t>
        </is>
      </c>
      <c r="C6" s="82" t="inlineStr">
        <is>
          <t>对比减少运营催促前后，上面四项指标的变化（填在“减少催促后”一列与各轮对照）</t>
        </is>
      </c>
      <c r="D6" s="82" t="inlineStr">
        <is>
          <t>运营记录与以上数据</t>
        </is>
      </c>
      <c r="E6" s="86" t="inlineStr">
        <is>
          <t>—</t>
        </is>
      </c>
      <c r="F6" s="90" t="n"/>
      <c r="G6" s="90" t="n"/>
      <c r="H6" s="90" t="n"/>
      <c r="I6" s="90" t="n"/>
      <c r="J6" s="91">
        <f>IF(OR(F6="",H6=""),"",H6-F6)</f>
        <v/>
      </c>
      <c r="K6" s="84" t="n"/>
    </row>
    <row r="8" ht="15" customHeight="1" s="45">
      <c r="A8" s="59" t="inlineStr">
        <is>
          <t>说明</t>
        </is>
      </c>
    </row>
    <row r="9" ht="15" customHeight="1" s="45">
      <c r="A9" s="47" t="inlineStr">
        <is>
          <t>黄色单元格为填写区；百分比请填小数（例如 0.35 显示为 35.0%）。“第 3 轮较第 1 轮”自动计算，两轮都填写后才显示。</t>
        </is>
      </c>
    </row>
  </sheetData>
  <mergeCells count="1">
    <mergeCell ref="A9:K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2026-10-21T08:22:36Z</dcterms:created>
  <dcterms:modified xmlns:dcterms="http://purl.org/dc/terms/" xmlns:xsi="http://www.w3.org/2001/XMLSchema-instance" xsi:type="dcterms:W3CDTF">2026-10-22T10:57:05Z</dcterms:modified>
  <cp:revision>0</cp:revision>
</cp:coreProperties>
</file>