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览" sheetId="1" state="visible" r:id="rId3"/>
    <sheet name="迭代清单" sheetId="2" state="visible" r:id="rId4"/>
    <sheet name="实验指标" sheetId="3" state="visible" r:id="rId5"/>
  </sheets>
  <definedNames>
    <definedName function="false" hidden="true" localSheetId="1" name="_xlnm._FilterDatabase" vbProcedure="false">迭代清单!$A$1:$L$18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Noto Sans CJK SC"/>
            <family val="2"/>
          </rPr>
          <t xml:space="preserve">北极星指标：衡量“被理解”是否发生，这是讨论中认为真正稀缺的东西。</t>
        </r>
      </text>
    </comment>
  </commentList>
</comments>
</file>

<file path=xl/sharedStrings.xml><?xml version="1.0" encoding="utf-8"?>
<sst xmlns="http://schemas.openxmlformats.org/spreadsheetml/2006/main" count="200" uniqueCount="140">
  <si>
    <t xml:space="preserve">隔壁 · 迭代计划</t>
  </si>
  <si>
    <t xml:space="preserve">原则：停下视觉打磨，迭代全部服务于 15 到 25 人的小型开放工作室实验。</t>
  </si>
  <si>
    <t xml:space="preserve">阶段</t>
  </si>
  <si>
    <t xml:space="preserve">迭代项数</t>
  </si>
  <si>
    <t xml:space="preserve">已完成</t>
  </si>
  <si>
    <t xml:space="preserve">进行中</t>
  </si>
  <si>
    <t xml:space="preserve">未开始</t>
  </si>
  <si>
    <t xml:space="preserve">完成率</t>
  </si>
  <si>
    <t xml:space="preserve">这一阶段要做到的事</t>
  </si>
  <si>
    <r>
      <rPr>
        <b val="true"/>
        <sz val="10"/>
        <rFont val="Arial"/>
        <family val="0"/>
        <charset val="1"/>
      </rPr>
      <t xml:space="preserve">P0 </t>
    </r>
    <r>
      <rPr>
        <b val="true"/>
        <sz val="10"/>
        <rFont val="Noto Sans CJK SC"/>
        <family val="2"/>
      </rPr>
      <t xml:space="preserve">实验前</t>
    </r>
  </si>
  <si>
    <t xml:space="preserve">开放工作室之前必须补上的</t>
  </si>
  <si>
    <r>
      <rPr>
        <b val="true"/>
        <sz val="10"/>
        <rFont val="Arial"/>
        <family val="0"/>
        <charset val="1"/>
      </rPr>
      <t xml:space="preserve">P1 </t>
    </r>
    <r>
      <rPr>
        <b val="true"/>
        <sz val="10"/>
        <rFont val="Noto Sans CJK SC"/>
        <family val="2"/>
      </rPr>
      <t xml:space="preserve">实验中</t>
    </r>
  </si>
  <si>
    <t xml:space="preserve">验证社区机制</t>
  </si>
  <si>
    <r>
      <rPr>
        <b val="true"/>
        <sz val="10"/>
        <rFont val="Arial"/>
        <family val="0"/>
        <charset val="1"/>
      </rPr>
      <t xml:space="preserve">P2 </t>
    </r>
    <r>
      <rPr>
        <b val="true"/>
        <sz val="10"/>
        <rFont val="Noto Sans CJK SC"/>
        <family val="2"/>
      </rPr>
      <t xml:space="preserve">有信号后</t>
    </r>
  </si>
  <si>
    <t xml:space="preserve">依赖前面的机制被验证，现在做是浪费</t>
  </si>
  <si>
    <t xml:space="preserve">暂缓</t>
  </si>
  <si>
    <t xml:space="preserve">先砍掉：换不来文稿问题的答案</t>
  </si>
  <si>
    <t xml:space="preserve">合计</t>
  </si>
  <si>
    <t xml:space="preserve">北极星指标</t>
  </si>
  <si>
    <t xml:space="preserve">收到非熟人真实回应的房间占比</t>
  </si>
  <si>
    <t xml:space="preserve">最近一轮数值</t>
  </si>
  <si>
    <t xml:space="preserve">怎么填</t>
  </si>
  <si>
    <t xml:space="preserve">黄色单元格是填写区：“迭代清单”的状态、负责人、开始日期、截止日期、备注；“实验指标”各轮数值与备注。其余单元格自动计算或为固定内容。</t>
  </si>
  <si>
    <t xml:space="preserve">状态用下拉选择：未开始、进行中、已完成、搁置。截止日期已过且未完成的会标红。</t>
  </si>
  <si>
    <t xml:space="preserve">填写示例（格式参考，不是真实进度）：状态“进行中” · 负责人“张三” · 开始日期 2026-11-02 · 截止日期 2026-11-16 · 指标 0.35（显示为 35.0%）。</t>
  </si>
  <si>
    <t xml:space="preserve">内容来源：基于此前关于「隔壁」迭代方向的讨论整理。</t>
  </si>
  <si>
    <t xml:space="preserve">编号</t>
  </si>
  <si>
    <t xml:space="preserve">迭代项</t>
  </si>
  <si>
    <t xml:space="preserve">要解决的问题</t>
  </si>
  <si>
    <t xml:space="preserve">具体做法</t>
  </si>
  <si>
    <t xml:space="preserve">依据（文稿与讨论）</t>
  </si>
  <si>
    <t xml:space="preserve">验证指标</t>
  </si>
  <si>
    <t xml:space="preserve">状态</t>
  </si>
  <si>
    <t xml:space="preserve">负责人</t>
  </si>
  <si>
    <t xml:space="preserve">开始日期</t>
  </si>
  <si>
    <t xml:space="preserve">截止日期</t>
  </si>
  <si>
    <t xml:space="preserve">备注</t>
  </si>
  <si>
    <r>
      <rPr>
        <sz val="10"/>
        <rFont val="Arial"/>
        <family val="0"/>
        <charset val="1"/>
      </rPr>
      <t xml:space="preserve">P0 </t>
    </r>
    <r>
      <rPr>
        <sz val="10"/>
        <rFont val="Noto Sans CJK SC"/>
        <family val="2"/>
      </rPr>
      <t xml:space="preserve">实验前</t>
    </r>
  </si>
  <si>
    <t xml:space="preserve">地址精度改到城市级</t>
  </si>
  <si>
    <t xml:space="preserve">选址精确到约十米，等于在公开地图上标出住处；国内公开发布地图类产品通常需要审图号</t>
  </si>
  <si>
    <t xml:space="preserve">默认只显示到城市；坐标做模糊处理；不对外暴露精确点位；上线前请专业人士确认审图要求</t>
  </si>
  <si>
    <t xml:space="preserve">原型自身引入的隐私与合规风险</t>
  </si>
  <si>
    <t xml:space="preserve">上线前完成隐私处理与合规确认</t>
  </si>
  <si>
    <r>
      <rPr>
        <sz val="10"/>
        <rFont val="Noto Sans CJK SC"/>
        <family val="2"/>
      </rPr>
      <t xml:space="preserve">代码部分已完成（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）：选址吸附到最近城市并随机偏移，只显示到 </t>
    </r>
    <r>
      <rPr>
        <sz val="10"/>
        <rFont val="Arial"/>
        <family val="0"/>
        <charset val="1"/>
      </rPr>
      <t xml:space="preserve">0.1°</t>
    </r>
    <r>
      <rPr>
        <sz val="10"/>
        <rFont val="Noto Sans CJK SC"/>
        <family val="2"/>
      </rPr>
      <t xml:space="preserve">。审图号要求待专业人士确认。</t>
    </r>
  </si>
  <si>
    <t xml:space="preserve">访客记录与“留言 → 回复”闭环</t>
  </si>
  <si>
    <t xml:space="preserve">房间被看了，房主却不知道；缺少回访理由</t>
  </si>
  <si>
    <t xml:space="preserve">自动记录访客；由 Bit 汇总成一句话（例：今晚 @pixelmo 来过，玩了你的游戏，在黑板上留了言）；房主可直接回复，回复通知到对方</t>
  </si>
  <si>
    <r>
      <rPr>
        <sz val="10"/>
        <rFont val="Arial"/>
        <family val="0"/>
        <charset val="1"/>
      </rPr>
      <t xml:space="preserve">QQ </t>
    </r>
    <r>
      <rPr>
        <sz val="10"/>
        <rFont val="Noto Sans CJK SC"/>
        <family val="2"/>
      </rPr>
      <t xml:space="preserve">空间“谁看过我”；文稿“首次有效反馈等待时间”“重复交流”</t>
    </r>
  </si>
  <si>
    <t xml:space="preserve">首次回应的等待时间；重复互动的人员组合</t>
  </si>
  <si>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：访客自动记录；</t>
    </r>
    <r>
      <rPr>
        <sz val="10"/>
        <rFont val="Arial"/>
        <family val="0"/>
        <charset val="1"/>
      </rPr>
      <t xml:space="preserve">Bit </t>
    </r>
    <r>
      <rPr>
        <sz val="10"/>
        <rFont val="Noto Sans CJK SC"/>
        <family val="2"/>
      </rPr>
      <t xml:space="preserve">和访客簿汇总新访客与留言；房主可直接回复；对方下次打开时在“动态”里看到（站内提醒，无推送）。</t>
    </r>
  </si>
  <si>
    <t xml:space="preserve">单文件作品托管</t>
  </si>
  <si>
    <t xml:space="preserve">绑定外部网址很脆弱，很多网站禁止被嵌入，实验时一定有人卡住</t>
  </si>
  <si>
    <t xml:space="preserve">支持上传或粘贴单个 HTML 文件，由平台托管；作品一定能打开，可接入 SDK 与物件同步；审核有抓手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</si>
  <si>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做出来的作品大多是单个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文件</t>
    </r>
  </si>
  <si>
    <t xml:space="preserve">作品成功在房间内打开的比例</t>
  </si>
  <si>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：上传或粘贴单个 </t>
    </r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（≤</t>
    </r>
    <r>
      <rPr>
        <sz val="10"/>
        <rFont val="Arial"/>
        <family val="0"/>
        <charset val="1"/>
      </rPr>
      <t xml:space="preserve">200 KB</t>
    </r>
    <r>
      <rPr>
        <sz val="10"/>
        <rFont val="Noto Sans CJK SC"/>
        <family val="2"/>
      </rPr>
      <t xml:space="preserve">），在隔离沙箱中运行，可接 </t>
    </r>
    <r>
      <rPr>
        <sz val="10"/>
        <rFont val="Arial"/>
        <family val="0"/>
        <charset val="1"/>
      </rPr>
      <t xml:space="preserve">SDK</t>
    </r>
    <r>
      <rPr>
        <sz val="10"/>
        <rFont val="Noto Sans CJK SC"/>
        <family val="2"/>
      </rPr>
      <t xml:space="preserve">。</t>
    </r>
  </si>
  <si>
    <t xml:space="preserve">账号与云端存储</t>
  </si>
  <si>
    <t xml:space="preserve">所有数据只存在浏览器本地，无法多人实验</t>
  </si>
  <si>
    <t xml:space="preserve">账号体系；房间、留言、访客数据存到云端</t>
  </si>
  <si>
    <t xml:space="preserve">开放工作室实验的前提</t>
  </si>
  <si>
    <t xml:space="preserve">实验可多人运行</t>
  </si>
  <si>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：用 </t>
    </r>
    <r>
      <rPr>
        <sz val="10"/>
        <rFont val="Arial"/>
        <family val="0"/>
        <charset val="1"/>
      </rPr>
      <t xml:space="preserve">claude.ai </t>
    </r>
    <r>
      <rPr>
        <sz val="10"/>
        <rFont val="Noto Sans CJK SC"/>
        <family val="2"/>
      </rPr>
      <t xml:space="preserve">账号作为身份；数据存在页面的共享数据库，每人只能写自己的房间、留言和访客记录。参与者需在分享菜单设为“参与者”。</t>
    </r>
  </si>
  <si>
    <t xml:space="preserve">房间分享卡片</t>
  </si>
  <si>
    <t xml:space="preserve">种子用户邀请与二次传播缺少载体</t>
  </si>
  <si>
    <t xml:space="preserve">自动生成房间截图，带城市和门牌号，适合发微信和小红书</t>
  </si>
  <si>
    <t xml:space="preserve">种子用户邀请与二次传播</t>
  </si>
  <si>
    <t xml:space="preserve">通过分享卡片进入的新访客</t>
  </si>
  <si>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1080×1440 </t>
    </r>
    <r>
      <rPr>
        <sz val="10"/>
        <rFont val="Noto Sans CJK SC"/>
        <family val="2"/>
      </rPr>
      <t xml:space="preserve">卡片，可保存图片、复制直达房间的链接。</t>
    </r>
  </si>
  <si>
    <r>
      <rPr>
        <sz val="10"/>
        <rFont val="Arial"/>
        <family val="0"/>
        <charset val="1"/>
      </rPr>
      <t xml:space="preserve">P1 </t>
    </r>
    <r>
      <rPr>
        <sz val="10"/>
        <rFont val="Noto Sans CJK SC"/>
        <family val="2"/>
      </rPr>
      <t xml:space="preserve">实验中</t>
    </r>
  </si>
  <si>
    <t xml:space="preserve">物件收藏与改编</t>
  </si>
  <si>
    <t xml:space="preserve">不创作的人缺少参与方式；从看客到作者的路径太重</t>
  </si>
  <si>
    <t xml:space="preserve">收藏：把喜欢的物件放进自己的房间，保留原作者署名，访客点开可链回作者。改编：允许复制一份改成自己的版本，形成改编链条</t>
  </si>
  <si>
    <t xml:space="preserve">豆瓣式标记与策展；文稿“消费者转化为生产者”</t>
  </si>
  <si>
    <t xml:space="preserve">收藏或策展行为的人数占比</t>
  </si>
  <si>
    <t xml:space="preserve">主题周：“理想中的深夜小店”</t>
  </si>
  <si>
    <t xml:space="preserve">陌生人缺少共同对象；空间里缺少持续发生的事</t>
  </si>
  <si>
    <t xml:space="preserve">全员布置同一主题的房间；地球上点亮一张主题地图；结束后把活动归档</t>
  </si>
  <si>
    <t xml:space="preserve">文稿从豆瓣得出的“共同对象”；阿尔法城之问：空间里会持续发生什么</t>
  </si>
  <si>
    <t xml:space="preserve">第二、三周重复互动的人员组合</t>
  </si>
  <si>
    <t xml:space="preserve">平铺的“物件流”作为发现入口</t>
  </si>
  <si>
    <t xml:space="preserve">飞过去、推门、走进去才能看到东西，成本太高</t>
  </si>
  <si>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秒能看懂、可直接试玩的物件卡片流；房间是目的地，物件流是街道</t>
    </r>
  </si>
  <si>
    <t xml:space="preserve">文稿：作品形式越丰富，理解和回应越要轻；3D 展示身份，2D 负责发现</t>
  </si>
  <si>
    <r>
      <rPr>
        <b val="true"/>
        <sz val="10"/>
        <rFont val="Arial"/>
        <family val="0"/>
        <charset val="1"/>
      </rPr>
      <t xml:space="preserve">Agent </t>
    </r>
    <r>
      <rPr>
        <b val="true"/>
        <sz val="10"/>
        <rFont val="Noto Sans CJK SC"/>
        <family val="2"/>
      </rPr>
      <t xml:space="preserve">从“陪聊”改为“转达”</t>
    </r>
  </si>
  <si>
    <t xml:space="preserve">访客可能只和 Bit 聊天，关系被机器人截住</t>
  </si>
  <si>
    <r>
      <rPr>
        <sz val="10"/>
        <rFont val="Arial"/>
        <family val="0"/>
        <charset val="1"/>
      </rPr>
      <t xml:space="preserve">Bit </t>
    </r>
    <r>
      <rPr>
        <sz val="10"/>
        <rFont val="Noto Sans CJK SC"/>
        <family val="2"/>
      </rPr>
      <t xml:space="preserve">负责接待、介绍作品，并把访客引向房主：帮忙留言、预约、提醒房主回复，不替房主社交</t>
    </r>
  </si>
  <si>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是中介，不替代人与人的关系</t>
    </r>
  </si>
  <si>
    <t xml:space="preserve">首次回应的等待时间</t>
  </si>
  <si>
    <r>
      <rPr>
        <sz val="10"/>
        <rFont val="Arial"/>
        <family val="0"/>
        <charset val="1"/>
      </rPr>
      <t xml:space="preserve">P2 </t>
    </r>
    <r>
      <rPr>
        <sz val="10"/>
        <rFont val="Noto Sans CJK SC"/>
        <family val="2"/>
      </rPr>
      <t xml:space="preserve">有信号后</t>
    </r>
  </si>
  <si>
    <t xml:space="preserve">多人同时在场</t>
  </si>
  <si>
    <t xml:space="preserve">—</t>
  </si>
  <si>
    <t xml:space="preserve">其他访客的头像、表情</t>
  </si>
  <si>
    <t xml:space="preserve">依赖前面的机制先被验证</t>
  </si>
  <si>
    <t xml:space="preserve">物件与主题市场、创作者分成</t>
  </si>
  <si>
    <t xml:space="preserve">物件与主题上架交易，创作者获得分成</t>
  </si>
  <si>
    <t xml:space="preserve">一句话装修</t>
  </si>
  <si>
    <t xml:space="preserve">对 Agent 说一句话就完成装修</t>
  </si>
  <si>
    <t xml:space="preserve">机构房间</t>
  </si>
  <si>
    <t xml:space="preserve">招聘方、游戏 IP 方的同人街区等机构入驻</t>
  </si>
  <si>
    <t xml:space="preserve">移动端性能深度优化</t>
  </si>
  <si>
    <t xml:space="preserve">针对手机的渲染与交互深度优化</t>
  </si>
  <si>
    <t xml:space="preserve">更多房间模板</t>
  </si>
  <si>
    <t xml:space="preserve">先砍掉</t>
  </si>
  <si>
    <t xml:space="preserve">现有视觉水准已足够融资，继续投入换不来文稿问题的答案</t>
  </si>
  <si>
    <t xml:space="preserve">搁置</t>
  </si>
  <si>
    <t xml:space="preserve">更多家具</t>
  </si>
  <si>
    <t xml:space="preserve">同上</t>
  </si>
  <si>
    <t xml:space="preserve">更炫的特效</t>
  </si>
  <si>
    <t xml:space="preserve">文稿里的问题</t>
  </si>
  <si>
    <t xml:space="preserve">指标</t>
  </si>
  <si>
    <t xml:space="preserve">计算方式</t>
  </si>
  <si>
    <t xml:space="preserve">数据来源</t>
  </si>
  <si>
    <t xml:space="preserve">单位</t>
  </si>
  <si>
    <t xml:space="preserve">第 1 轮</t>
  </si>
  <si>
    <t xml:space="preserve">第 2 轮</t>
  </si>
  <si>
    <t xml:space="preserve">第 3 轮</t>
  </si>
  <si>
    <t xml:space="preserve">减少催促后</t>
  </si>
  <si>
    <t xml:space="preserve">第 3 轮较第 1 轮</t>
  </si>
  <si>
    <t xml:space="preserve">被理解是否发生</t>
  </si>
  <si>
    <t xml:space="preserve">收到非熟人真实回应的房间占比（北极星指标）</t>
  </si>
  <si>
    <t xml:space="preserve">收到至少 1 条非熟人真实回应的房间数 ÷ 参与房间总数。真实回应须包含具体体验、理解或建议，单纯点赞不计</t>
  </si>
  <si>
    <t xml:space="preserve">访客记录与留言（迭代 2）</t>
  </si>
  <si>
    <t xml:space="preserve">%</t>
  </si>
  <si>
    <t xml:space="preserve">发布后是否长时间无人回应</t>
  </si>
  <si>
    <t xml:space="preserve">从房间或作品发布到收到第一条真实回应的时间，取中位数</t>
  </si>
  <si>
    <t xml:space="preserve">发布记录与留言时间</t>
  </si>
  <si>
    <t xml:space="preserve">小时</t>
  </si>
  <si>
    <t xml:space="preserve">不创作的人能否留下来</t>
  </si>
  <si>
    <t xml:space="preserve">有过收藏、把他人物件放进房间或推荐行为的成员数 ÷ 全体成员数</t>
  </si>
  <si>
    <t xml:space="preserve">物件收藏记录（迭代 6）</t>
  </si>
  <si>
    <t xml:space="preserve">活动之后还有没有关系</t>
  </si>
  <si>
    <t xml:space="preserve">在第二周和第三周都发生过互动的成员对数</t>
  </si>
  <si>
    <t xml:space="preserve">留言与访客记录</t>
  </si>
  <si>
    <t xml:space="preserve">对</t>
  </si>
  <si>
    <t xml:space="preserve">是否依赖运营催促</t>
  </si>
  <si>
    <t xml:space="preserve">减少催促之后，以上指标的变化</t>
  </si>
  <si>
    <t xml:space="preserve">对比减少运营催促前后，上面四项指标的变化（填在“减少催促后”一列与各轮对照）</t>
  </si>
  <si>
    <t xml:space="preserve">运营记录与以上数据</t>
  </si>
  <si>
    <t xml:space="preserve">说明</t>
  </si>
  <si>
    <t xml:space="preserve">黄色单元格为填写区；百分比请填小数（例如 0.35 显示为 35.0%）。“第 3 轮较第 1 轮”自动计算，两轮都填写后才显示。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</si>
</sst>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%;\-0%;0%"/>
    <numFmt numFmtId="167" formatCode="0.0%"/>
    <numFmt numFmtId="168" formatCode="yyyy\-mm\-dd"/>
    <numFmt numFmtId="169" formatCode="\+0.0%;\-0.0%;0.0%"/>
    <numFmt numFmtId="170" formatCode="0.0"/>
    <numFmt numFmtId="171" formatCode="\+0.0;\-0.0;0.0"/>
    <numFmt numFmtId="172" formatCode="0"/>
    <numFmt numFmtId="173" formatCode="\+0;\-0;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14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1"/>
      <color theme="1"/>
      <name val="Noto Sans CJK SC"/>
      <family val="2"/>
      <charset val="1"/>
    </font>
    <font>
      <sz val="10"/>
      <color rgb="FF008000"/>
      <name val="Arial"/>
      <family val="0"/>
      <charset val="1"/>
    </font>
    <font>
      <sz val="10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2A2140"/>
        <bgColor rgb="FF333300"/>
      </patternFill>
    </fill>
    <fill>
      <patternFill patternType="solid">
        <fgColor rgb="FFFDE9D9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DE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CD6"/>
      </left>
      <right style="thin">
        <color rgb="FFD0CCD6"/>
      </right>
      <top style="thin">
        <color rgb="FFD0CCD6"/>
      </top>
      <bottom style="thin">
        <color rgb="FFD0CC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2A214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DEDED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CC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DE9D9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2A21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13"/>
    <col collapsed="false" customWidth="true" hidden="false" outlineLevel="0" max="7" min="7" style="1" width="40"/>
  </cols>
  <sheetData>
    <row r="1" customFormat="false" ht="23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6" t="n">
        <f aca="false">COUNTIF(迭代清单!$B$2:$B$18,A5)</f>
        <v>5</v>
      </c>
      <c r="C5" s="6" t="n">
        <f aca="false">COUNTIFS(迭代清单!$B$2:$B$18,A5,迭代清单!$H$2:$H$18,"已完成")</f>
        <v>4</v>
      </c>
      <c r="D5" s="6" t="n">
        <f aca="false">COUNTIFS(迭代清单!$B$2:$B$18,A5,迭代清单!$H$2:$H$18,"进行中")</f>
        <v>1</v>
      </c>
      <c r="E5" s="6" t="n">
        <f aca="false">COUNTIFS(迭代清单!$B$2:$B$18,A5,迭代清单!$H$2:$H$18,"未开始")</f>
        <v>0</v>
      </c>
      <c r="F5" s="7" t="n">
        <f aca="false">IF(B5=0,"",C5/B5)</f>
        <v>0.8</v>
      </c>
      <c r="G5" s="8" t="s">
        <v>10</v>
      </c>
    </row>
    <row r="6" customFormat="false" ht="15" hidden="false" customHeight="true" outlineLevel="0" collapsed="false">
      <c r="A6" s="9" t="s">
        <v>11</v>
      </c>
      <c r="B6" s="6" t="n">
        <f aca="false">COUNTIF(迭代清单!$B$2:$B$18,A6)</f>
        <v>4</v>
      </c>
      <c r="C6" s="6" t="n">
        <f aca="false">COUNTIFS(迭代清单!$B$2:$B$18,A6,迭代清单!$H$2:$H$18,"已完成")</f>
        <v>0</v>
      </c>
      <c r="D6" s="6" t="n">
        <f aca="false">COUNTIFS(迭代清单!$B$2:$B$18,A6,迭代清单!$H$2:$H$18,"进行中")</f>
        <v>0</v>
      </c>
      <c r="E6" s="6" t="n">
        <f aca="false">COUNTIFS(迭代清单!$B$2:$B$18,A6,迭代清单!$H$2:$H$18,"未开始")</f>
        <v>4</v>
      </c>
      <c r="F6" s="7" t="n">
        <f aca="false">IF(B6=0,"",C6/B6)</f>
        <v>0</v>
      </c>
      <c r="G6" s="8" t="s">
        <v>12</v>
      </c>
    </row>
    <row r="7" customFormat="false" ht="15" hidden="false" customHeight="true" outlineLevel="0" collapsed="false">
      <c r="A7" s="10" t="s">
        <v>13</v>
      </c>
      <c r="B7" s="6" t="n">
        <f aca="false">COUNTIF(迭代清单!$B$2:$B$18,A7)</f>
        <v>5</v>
      </c>
      <c r="C7" s="6" t="n">
        <f aca="false">COUNTIFS(迭代清单!$B$2:$B$18,A7,迭代清单!$H$2:$H$18,"已完成")</f>
        <v>0</v>
      </c>
      <c r="D7" s="6" t="n">
        <f aca="false">COUNTIFS(迭代清单!$B$2:$B$18,A7,迭代清单!$H$2:$H$18,"进行中")</f>
        <v>0</v>
      </c>
      <c r="E7" s="6" t="n">
        <f aca="false">COUNTIFS(迭代清单!$B$2:$B$18,A7,迭代清单!$H$2:$H$18,"未开始")</f>
        <v>5</v>
      </c>
      <c r="F7" s="7" t="n">
        <f aca="false">IF(B7=0,"",C7/B7)</f>
        <v>0</v>
      </c>
      <c r="G7" s="8" t="s">
        <v>14</v>
      </c>
    </row>
    <row r="8" customFormat="false" ht="15" hidden="false" customHeight="true" outlineLevel="0" collapsed="false">
      <c r="A8" s="11" t="s">
        <v>15</v>
      </c>
      <c r="B8" s="6" t="n">
        <f aca="false">COUNTIF(迭代清单!$B$2:$B$18,A8)</f>
        <v>3</v>
      </c>
      <c r="C8" s="6" t="n">
        <f aca="false">COUNTIFS(迭代清单!$B$2:$B$18,A8,迭代清单!$H$2:$H$18,"已完成")</f>
        <v>0</v>
      </c>
      <c r="D8" s="6" t="n">
        <f aca="false">COUNTIFS(迭代清单!$B$2:$B$18,A8,迭代清单!$H$2:$H$18,"进行中")</f>
        <v>0</v>
      </c>
      <c r="E8" s="6" t="n">
        <f aca="false">COUNTIFS(迭代清单!$B$2:$B$18,A8,迭代清单!$H$2:$H$18,"未开始")</f>
        <v>0</v>
      </c>
      <c r="F8" s="7" t="n">
        <f aca="false">IF(B8=0,"",C8/B8)</f>
        <v>0</v>
      </c>
      <c r="G8" s="8" t="s">
        <v>16</v>
      </c>
    </row>
    <row r="9" customFormat="false" ht="15" hidden="false" customHeight="true" outlineLevel="0" collapsed="false">
      <c r="A9" s="12" t="s">
        <v>17</v>
      </c>
      <c r="B9" s="13" t="n">
        <f aca="false">SUM(B5:B8)</f>
        <v>17</v>
      </c>
      <c r="C9" s="13" t="n">
        <f aca="false">SUM(C5:C8)</f>
        <v>4</v>
      </c>
      <c r="D9" s="13" t="n">
        <f aca="false">SUM(D5:D8)</f>
        <v>1</v>
      </c>
      <c r="E9" s="13" t="n">
        <f aca="false">SUM(E5:E8)</f>
        <v>9</v>
      </c>
      <c r="F9" s="14" t="n">
        <f aca="false">IF(B9=0,"",C9/B9)</f>
        <v>0.235294117647059</v>
      </c>
      <c r="G9" s="12"/>
    </row>
    <row r="11" customFormat="false" ht="15" hidden="false" customHeight="true" outlineLevel="0" collapsed="false">
      <c r="A11" s="15" t="s">
        <v>18</v>
      </c>
      <c r="B11" s="16" t="s">
        <v>19</v>
      </c>
      <c r="C11" s="16"/>
      <c r="D11" s="16"/>
      <c r="E11" s="16"/>
    </row>
    <row r="12" customFormat="false" ht="15" hidden="false" customHeight="true" outlineLevel="0" collapsed="false">
      <c r="A12" s="15" t="s">
        <v>20</v>
      </c>
      <c r="B12" s="17" t="str">
        <f aca="false">IF(实验指标!I2&lt;&gt;"",实验指标!I2,IF(实验指标!H2&lt;&gt;"",实验指标!H2,IF(实验指标!G2&lt;&gt;"",实验指标!G2,IF(实验指标!F2&lt;&gt;"",实验指标!F2,"尚未填写"))))</f>
        <v>尚未填写</v>
      </c>
    </row>
    <row r="14" customFormat="false" ht="15" hidden="false" customHeight="true" outlineLevel="0" collapsed="false">
      <c r="A14" s="15" t="s">
        <v>21</v>
      </c>
    </row>
    <row r="15" customFormat="false" ht="30" hidden="false" customHeight="true" outlineLevel="0" collapsed="false">
      <c r="A15" s="18" t="s">
        <v>22</v>
      </c>
      <c r="B15" s="18"/>
      <c r="C15" s="18"/>
      <c r="D15" s="18"/>
      <c r="E15" s="18"/>
      <c r="F15" s="18"/>
      <c r="G15" s="18"/>
    </row>
    <row r="16" customFormat="false" ht="30" hidden="false" customHeight="true" outlineLevel="0" collapsed="false">
      <c r="A16" s="18" t="s">
        <v>23</v>
      </c>
      <c r="B16" s="18"/>
      <c r="C16" s="18"/>
      <c r="D16" s="18"/>
      <c r="E16" s="18"/>
      <c r="F16" s="18"/>
      <c r="G16" s="18"/>
    </row>
    <row r="17" customFormat="false" ht="30" hidden="false" customHeight="true" outlineLevel="0" collapsed="false">
      <c r="A17" s="18" t="s">
        <v>24</v>
      </c>
      <c r="B17" s="18"/>
      <c r="C17" s="18"/>
      <c r="D17" s="18"/>
      <c r="E17" s="18"/>
      <c r="F17" s="18"/>
      <c r="G17" s="18"/>
    </row>
    <row r="18" customFormat="false" ht="30" hidden="false" customHeight="true" outlineLevel="0" collapsed="false">
      <c r="A18" s="18" t="s">
        <v>25</v>
      </c>
      <c r="B18" s="18"/>
      <c r="C18" s="18"/>
      <c r="D18" s="18"/>
      <c r="E18" s="18"/>
      <c r="F18" s="18"/>
      <c r="G18" s="18"/>
    </row>
  </sheetData>
  <mergeCells count="5">
    <mergeCell ref="B11:E11"/>
    <mergeCell ref="A15:G15"/>
    <mergeCell ref="A16:G16"/>
    <mergeCell ref="A17:G17"/>
    <mergeCell ref="A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44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9" min="8" style="1" width="10"/>
    <col collapsed="false" customWidth="true" hidden="false" outlineLevel="0" max="11" min="10" style="1" width="12"/>
    <col collapsed="false" customWidth="true" hidden="false" outlineLevel="0" max="12" min="12" style="1" width="24"/>
  </cols>
  <sheetData>
    <row r="1" customFormat="false" ht="24" hidden="false" customHeight="true" outlineLevel="0" collapsed="false">
      <c r="A1" s="19" t="s">
        <v>26</v>
      </c>
      <c r="B1" s="19" t="s">
        <v>2</v>
      </c>
      <c r="C1" s="19" t="s">
        <v>27</v>
      </c>
      <c r="D1" s="19" t="s">
        <v>28</v>
      </c>
      <c r="E1" s="19" t="s">
        <v>29</v>
      </c>
      <c r="F1" s="19" t="s">
        <v>30</v>
      </c>
      <c r="G1" s="19" t="s">
        <v>31</v>
      </c>
      <c r="H1" s="19" t="s">
        <v>32</v>
      </c>
      <c r="I1" s="19" t="s">
        <v>33</v>
      </c>
      <c r="J1" s="19" t="s">
        <v>34</v>
      </c>
      <c r="K1" s="19" t="s">
        <v>35</v>
      </c>
      <c r="L1" s="19" t="s">
        <v>36</v>
      </c>
    </row>
    <row r="2" customFormat="false" ht="43.5" hidden="false" customHeight="true" outlineLevel="0" collapsed="false">
      <c r="A2" s="20" t="n">
        <v>1</v>
      </c>
      <c r="B2" s="20" t="s">
        <v>37</v>
      </c>
      <c r="C2" s="21" t="s">
        <v>38</v>
      </c>
      <c r="D2" s="22" t="s">
        <v>39</v>
      </c>
      <c r="E2" s="22" t="s">
        <v>40</v>
      </c>
      <c r="F2" s="22" t="s">
        <v>41</v>
      </c>
      <c r="G2" s="22" t="s">
        <v>42</v>
      </c>
      <c r="H2" s="23" t="s">
        <v>5</v>
      </c>
      <c r="I2" s="24"/>
      <c r="J2" s="25" t="n">
        <v>46316</v>
      </c>
      <c r="K2" s="25"/>
      <c r="L2" s="26" t="s">
        <v>43</v>
      </c>
    </row>
    <row r="3" customFormat="false" ht="43.5" hidden="false" customHeight="true" outlineLevel="0" collapsed="false">
      <c r="A3" s="20" t="n">
        <v>2</v>
      </c>
      <c r="B3" s="20" t="s">
        <v>37</v>
      </c>
      <c r="C3" s="21" t="s">
        <v>44</v>
      </c>
      <c r="D3" s="22" t="s">
        <v>45</v>
      </c>
      <c r="E3" s="22" t="s">
        <v>46</v>
      </c>
      <c r="F3" s="27" t="s">
        <v>47</v>
      </c>
      <c r="G3" s="22" t="s">
        <v>48</v>
      </c>
      <c r="H3" s="23" t="s">
        <v>4</v>
      </c>
      <c r="I3" s="24"/>
      <c r="J3" s="25" t="n">
        <v>46316</v>
      </c>
      <c r="K3" s="25" t="n">
        <v>46316</v>
      </c>
      <c r="L3" s="24" t="s">
        <v>49</v>
      </c>
    </row>
    <row r="4" customFormat="false" ht="29.25" hidden="false" customHeight="true" outlineLevel="0" collapsed="false">
      <c r="A4" s="20" t="n">
        <v>3</v>
      </c>
      <c r="B4" s="20" t="s">
        <v>37</v>
      </c>
      <c r="C4" s="21" t="s">
        <v>50</v>
      </c>
      <c r="D4" s="22" t="s">
        <v>51</v>
      </c>
      <c r="E4" s="22" t="s">
        <v>52</v>
      </c>
      <c r="F4" s="27" t="s">
        <v>53</v>
      </c>
      <c r="G4" s="22" t="s">
        <v>54</v>
      </c>
      <c r="H4" s="23" t="s">
        <v>4</v>
      </c>
      <c r="I4" s="24"/>
      <c r="J4" s="25" t="n">
        <v>46316</v>
      </c>
      <c r="K4" s="25" t="n">
        <v>46316</v>
      </c>
      <c r="L4" s="24" t="s">
        <v>55</v>
      </c>
    </row>
    <row r="5" customFormat="false" ht="29.25" hidden="false" customHeight="true" outlineLevel="0" collapsed="false">
      <c r="A5" s="20" t="n">
        <v>4</v>
      </c>
      <c r="B5" s="20" t="s">
        <v>37</v>
      </c>
      <c r="C5" s="21" t="s">
        <v>56</v>
      </c>
      <c r="D5" s="22" t="s">
        <v>57</v>
      </c>
      <c r="E5" s="22" t="s">
        <v>58</v>
      </c>
      <c r="F5" s="22" t="s">
        <v>59</v>
      </c>
      <c r="G5" s="22" t="s">
        <v>60</v>
      </c>
      <c r="H5" s="23" t="s">
        <v>4</v>
      </c>
      <c r="I5" s="24"/>
      <c r="J5" s="25" t="n">
        <v>46316</v>
      </c>
      <c r="K5" s="25" t="n">
        <v>46316</v>
      </c>
      <c r="L5" s="24" t="s">
        <v>61</v>
      </c>
    </row>
    <row r="6" customFormat="false" ht="29.25" hidden="false" customHeight="true" outlineLevel="0" collapsed="false">
      <c r="A6" s="20" t="n">
        <v>5</v>
      </c>
      <c r="B6" s="20" t="s">
        <v>37</v>
      </c>
      <c r="C6" s="21" t="s">
        <v>62</v>
      </c>
      <c r="D6" s="22" t="s">
        <v>63</v>
      </c>
      <c r="E6" s="22" t="s">
        <v>64</v>
      </c>
      <c r="F6" s="22" t="s">
        <v>65</v>
      </c>
      <c r="G6" s="22" t="s">
        <v>66</v>
      </c>
      <c r="H6" s="23" t="s">
        <v>4</v>
      </c>
      <c r="I6" s="24"/>
      <c r="J6" s="25" t="n">
        <v>46316</v>
      </c>
      <c r="K6" s="25" t="n">
        <v>46316</v>
      </c>
      <c r="L6" s="24" t="s">
        <v>67</v>
      </c>
    </row>
    <row r="7" customFormat="false" ht="43.5" hidden="false" customHeight="true" outlineLevel="0" collapsed="false">
      <c r="A7" s="28" t="n">
        <v>6</v>
      </c>
      <c r="B7" s="28" t="s">
        <v>68</v>
      </c>
      <c r="C7" s="21" t="s">
        <v>69</v>
      </c>
      <c r="D7" s="22" t="s">
        <v>70</v>
      </c>
      <c r="E7" s="22" t="s">
        <v>71</v>
      </c>
      <c r="F7" s="22" t="s">
        <v>72</v>
      </c>
      <c r="G7" s="22" t="s">
        <v>73</v>
      </c>
      <c r="H7" s="23" t="s">
        <v>6</v>
      </c>
      <c r="I7" s="24"/>
      <c r="J7" s="25"/>
      <c r="K7" s="25"/>
      <c r="L7" s="24"/>
    </row>
    <row r="8" customFormat="false" ht="29.25" hidden="false" customHeight="true" outlineLevel="0" collapsed="false">
      <c r="A8" s="28" t="n">
        <v>7</v>
      </c>
      <c r="B8" s="28" t="s">
        <v>68</v>
      </c>
      <c r="C8" s="21" t="s">
        <v>74</v>
      </c>
      <c r="D8" s="22" t="s">
        <v>75</v>
      </c>
      <c r="E8" s="22" t="s">
        <v>76</v>
      </c>
      <c r="F8" s="22" t="s">
        <v>77</v>
      </c>
      <c r="G8" s="22" t="s">
        <v>78</v>
      </c>
      <c r="H8" s="23" t="s">
        <v>6</v>
      </c>
      <c r="I8" s="24"/>
      <c r="J8" s="25"/>
      <c r="K8" s="25"/>
      <c r="L8" s="24"/>
    </row>
    <row r="9" customFormat="false" ht="29.25" hidden="false" customHeight="true" outlineLevel="0" collapsed="false">
      <c r="A9" s="28" t="n">
        <v>8</v>
      </c>
      <c r="B9" s="28" t="s">
        <v>68</v>
      </c>
      <c r="C9" s="21" t="s">
        <v>79</v>
      </c>
      <c r="D9" s="22" t="s">
        <v>80</v>
      </c>
      <c r="E9" s="27" t="s">
        <v>81</v>
      </c>
      <c r="F9" s="22" t="s">
        <v>82</v>
      </c>
      <c r="G9" s="22" t="s">
        <v>19</v>
      </c>
      <c r="H9" s="23" t="s">
        <v>6</v>
      </c>
      <c r="I9" s="24"/>
      <c r="J9" s="25"/>
      <c r="K9" s="25"/>
      <c r="L9" s="24"/>
    </row>
    <row r="10" customFormat="false" ht="29.25" hidden="false" customHeight="true" outlineLevel="0" collapsed="false">
      <c r="A10" s="28" t="n">
        <v>9</v>
      </c>
      <c r="B10" s="28" t="s">
        <v>68</v>
      </c>
      <c r="C10" s="29" t="s">
        <v>83</v>
      </c>
      <c r="D10" s="22" t="s">
        <v>84</v>
      </c>
      <c r="E10" s="27" t="s">
        <v>85</v>
      </c>
      <c r="F10" s="27" t="s">
        <v>86</v>
      </c>
      <c r="G10" s="22" t="s">
        <v>87</v>
      </c>
      <c r="H10" s="23" t="s">
        <v>6</v>
      </c>
      <c r="I10" s="24"/>
      <c r="J10" s="25"/>
      <c r="K10" s="25"/>
      <c r="L10" s="24"/>
    </row>
    <row r="11" customFormat="false" ht="15" hidden="false" customHeight="true" outlineLevel="0" collapsed="false">
      <c r="A11" s="30" t="n">
        <v>10</v>
      </c>
      <c r="B11" s="30" t="s">
        <v>88</v>
      </c>
      <c r="C11" s="21" t="s">
        <v>89</v>
      </c>
      <c r="D11" s="27" t="s">
        <v>90</v>
      </c>
      <c r="E11" s="22" t="s">
        <v>91</v>
      </c>
      <c r="F11" s="22" t="s">
        <v>92</v>
      </c>
      <c r="G11" s="27" t="s">
        <v>90</v>
      </c>
      <c r="H11" s="23" t="s">
        <v>6</v>
      </c>
      <c r="I11" s="24"/>
      <c r="J11" s="25"/>
      <c r="K11" s="25"/>
      <c r="L11" s="24"/>
    </row>
    <row r="12" customFormat="false" ht="29.25" hidden="false" customHeight="true" outlineLevel="0" collapsed="false">
      <c r="A12" s="30" t="n">
        <v>11</v>
      </c>
      <c r="B12" s="30" t="s">
        <v>88</v>
      </c>
      <c r="C12" s="21" t="s">
        <v>93</v>
      </c>
      <c r="D12" s="27" t="s">
        <v>90</v>
      </c>
      <c r="E12" s="22" t="s">
        <v>94</v>
      </c>
      <c r="F12" s="22" t="s">
        <v>92</v>
      </c>
      <c r="G12" s="27" t="s">
        <v>90</v>
      </c>
      <c r="H12" s="23" t="s">
        <v>6</v>
      </c>
      <c r="I12" s="24"/>
      <c r="J12" s="25"/>
      <c r="K12" s="25"/>
      <c r="L12" s="24"/>
    </row>
    <row r="13" customFormat="false" ht="15" hidden="false" customHeight="true" outlineLevel="0" collapsed="false">
      <c r="A13" s="30" t="n">
        <v>12</v>
      </c>
      <c r="B13" s="30" t="s">
        <v>88</v>
      </c>
      <c r="C13" s="21" t="s">
        <v>95</v>
      </c>
      <c r="D13" s="27" t="s">
        <v>90</v>
      </c>
      <c r="E13" s="22" t="s">
        <v>96</v>
      </c>
      <c r="F13" s="22" t="s">
        <v>92</v>
      </c>
      <c r="G13" s="27" t="s">
        <v>90</v>
      </c>
      <c r="H13" s="23" t="s">
        <v>6</v>
      </c>
      <c r="I13" s="24"/>
      <c r="J13" s="25"/>
      <c r="K13" s="25"/>
      <c r="L13" s="24"/>
    </row>
    <row r="14" customFormat="false" ht="15" hidden="false" customHeight="true" outlineLevel="0" collapsed="false">
      <c r="A14" s="30" t="n">
        <v>13</v>
      </c>
      <c r="B14" s="30" t="s">
        <v>88</v>
      </c>
      <c r="C14" s="21" t="s">
        <v>97</v>
      </c>
      <c r="D14" s="27" t="s">
        <v>90</v>
      </c>
      <c r="E14" s="22" t="s">
        <v>98</v>
      </c>
      <c r="F14" s="22" t="s">
        <v>92</v>
      </c>
      <c r="G14" s="27" t="s">
        <v>90</v>
      </c>
      <c r="H14" s="23" t="s">
        <v>6</v>
      </c>
      <c r="I14" s="24"/>
      <c r="J14" s="25"/>
      <c r="K14" s="25"/>
      <c r="L14" s="24"/>
    </row>
    <row r="15" customFormat="false" ht="15" hidden="false" customHeight="true" outlineLevel="0" collapsed="false">
      <c r="A15" s="30" t="n">
        <v>14</v>
      </c>
      <c r="B15" s="30" t="s">
        <v>88</v>
      </c>
      <c r="C15" s="21" t="s">
        <v>99</v>
      </c>
      <c r="D15" s="27" t="s">
        <v>90</v>
      </c>
      <c r="E15" s="22" t="s">
        <v>100</v>
      </c>
      <c r="F15" s="22" t="s">
        <v>92</v>
      </c>
      <c r="G15" s="27" t="s">
        <v>90</v>
      </c>
      <c r="H15" s="23" t="s">
        <v>6</v>
      </c>
      <c r="I15" s="24"/>
      <c r="J15" s="25"/>
      <c r="K15" s="25"/>
      <c r="L15" s="24"/>
    </row>
    <row r="16" customFormat="false" ht="29.25" hidden="false" customHeight="true" outlineLevel="0" collapsed="false">
      <c r="A16" s="31" t="n">
        <v>15</v>
      </c>
      <c r="B16" s="32" t="s">
        <v>15</v>
      </c>
      <c r="C16" s="21" t="s">
        <v>101</v>
      </c>
      <c r="D16" s="27" t="s">
        <v>90</v>
      </c>
      <c r="E16" s="22" t="s">
        <v>102</v>
      </c>
      <c r="F16" s="22" t="s">
        <v>103</v>
      </c>
      <c r="G16" s="27" t="s">
        <v>90</v>
      </c>
      <c r="H16" s="23" t="s">
        <v>104</v>
      </c>
      <c r="I16" s="24"/>
      <c r="J16" s="25"/>
      <c r="K16" s="25"/>
      <c r="L16" s="24"/>
    </row>
    <row r="17" customFormat="false" ht="15" hidden="false" customHeight="true" outlineLevel="0" collapsed="false">
      <c r="A17" s="31" t="n">
        <v>16</v>
      </c>
      <c r="B17" s="32" t="s">
        <v>15</v>
      </c>
      <c r="C17" s="21" t="s">
        <v>105</v>
      </c>
      <c r="D17" s="27" t="s">
        <v>90</v>
      </c>
      <c r="E17" s="22" t="s">
        <v>102</v>
      </c>
      <c r="F17" s="22" t="s">
        <v>106</v>
      </c>
      <c r="G17" s="27" t="s">
        <v>90</v>
      </c>
      <c r="H17" s="23" t="s">
        <v>104</v>
      </c>
      <c r="I17" s="24"/>
      <c r="J17" s="25"/>
      <c r="K17" s="25"/>
      <c r="L17" s="24"/>
    </row>
    <row r="18" customFormat="false" ht="15" hidden="false" customHeight="true" outlineLevel="0" collapsed="false">
      <c r="A18" s="31" t="n">
        <v>17</v>
      </c>
      <c r="B18" s="32" t="s">
        <v>15</v>
      </c>
      <c r="C18" s="21" t="s">
        <v>107</v>
      </c>
      <c r="D18" s="27" t="s">
        <v>90</v>
      </c>
      <c r="E18" s="22" t="s">
        <v>102</v>
      </c>
      <c r="F18" s="22" t="s">
        <v>106</v>
      </c>
      <c r="G18" s="27" t="s">
        <v>90</v>
      </c>
      <c r="H18" s="23" t="s">
        <v>104</v>
      </c>
      <c r="I18" s="24"/>
      <c r="J18" s="25"/>
      <c r="K18" s="25"/>
      <c r="L18" s="24"/>
    </row>
  </sheetData>
  <autoFilter ref="A1:L18"/>
  <conditionalFormatting sqref="H2:H18">
    <cfRule type="cellIs" priority="2" operator="equal" aboveAverage="0" equalAverage="0" bottom="0" percent="0" rank="0" text="" dxfId="12">
      <formula>"已完成"</formula>
    </cfRule>
    <cfRule type="cellIs" priority="3" operator="equal" aboveAverage="0" equalAverage="0" bottom="0" percent="0" rank="0" text="" dxfId="13">
      <formula>"进行中"</formula>
    </cfRule>
  </conditionalFormatting>
  <conditionalFormatting sqref="K2:K18">
    <cfRule type="expression" priority="4" aboveAverage="0" equalAverage="0" bottom="0" percent="0" rank="0" text="" dxfId="14">
      <formula>AND(K2&lt;&gt;"",K2&lt;TODAY(),$H2&lt;&gt;"已完成",$H2&lt;&gt;"搁置")</formula>
    </cfRule>
  </conditionalFormatting>
  <dataValidations count="2">
    <dataValidation allowBlank="true" error="请从下拉列表选择：未开始、进行中、已完成、搁置" errorStyle="stop" errorTitle="状态" operator="between" showDropDown="false" showErrorMessage="true" showInputMessage="false" sqref="H2:H18" type="list">
      <formula1>"未开始,进行中,已完成,搁置"</formula1>
      <formula2>0</formula2>
    </dataValidation>
    <dataValidation allowBlank="true" error="请填写日期，例如 2026-11-02" errorStyle="stop" operator="greaterThan" showDropDown="false" showErrorMessage="true" showInputMessage="false" sqref="J2:K18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6"/>
    <col collapsed="false" customWidth="true" hidden="false" outlineLevel="0" max="3" min="3" style="1" width="44"/>
    <col collapsed="false" customWidth="true" hidden="false" outlineLevel="0" max="4" min="4" style="1" width="26"/>
    <col collapsed="false" customWidth="true" hidden="false" outlineLevel="0" max="5" min="5" style="1" width="8"/>
    <col collapsed="false" customWidth="true" hidden="false" outlineLevel="0" max="8" min="6" style="1" width="11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24"/>
  </cols>
  <sheetData>
    <row r="1" customFormat="false" ht="24" hidden="false" customHeight="true" outlineLevel="0" collapsed="false">
      <c r="A1" s="19" t="s">
        <v>108</v>
      </c>
      <c r="B1" s="19" t="s">
        <v>109</v>
      </c>
      <c r="C1" s="19" t="s">
        <v>110</v>
      </c>
      <c r="D1" s="19" t="s">
        <v>111</v>
      </c>
      <c r="E1" s="19" t="s">
        <v>112</v>
      </c>
      <c r="F1" s="19" t="s">
        <v>113</v>
      </c>
      <c r="G1" s="19" t="s">
        <v>114</v>
      </c>
      <c r="H1" s="19" t="s">
        <v>115</v>
      </c>
      <c r="I1" s="19" t="s">
        <v>116</v>
      </c>
      <c r="J1" s="19" t="s">
        <v>117</v>
      </c>
      <c r="K1" s="19" t="s">
        <v>36</v>
      </c>
    </row>
    <row r="2" customFormat="false" ht="43.5" hidden="false" customHeight="true" outlineLevel="0" collapsed="false">
      <c r="A2" s="22" t="s">
        <v>118</v>
      </c>
      <c r="B2" s="21" t="s">
        <v>119</v>
      </c>
      <c r="C2" s="22" t="s">
        <v>120</v>
      </c>
      <c r="D2" s="22" t="s">
        <v>121</v>
      </c>
      <c r="E2" s="33" t="s">
        <v>122</v>
      </c>
      <c r="F2" s="34"/>
      <c r="G2" s="34"/>
      <c r="H2" s="34"/>
      <c r="I2" s="34"/>
      <c r="J2" s="35" t="str">
        <f aca="false">IF(OR(F2="",H2=""),"",H2-F2)</f>
        <v/>
      </c>
      <c r="K2" s="24"/>
    </row>
    <row r="3" customFormat="false" ht="29.25" hidden="false" customHeight="true" outlineLevel="0" collapsed="false">
      <c r="A3" s="22" t="s">
        <v>123</v>
      </c>
      <c r="B3" s="21" t="s">
        <v>87</v>
      </c>
      <c r="C3" s="22" t="s">
        <v>124</v>
      </c>
      <c r="D3" s="22" t="s">
        <v>125</v>
      </c>
      <c r="E3" s="36" t="s">
        <v>126</v>
      </c>
      <c r="F3" s="37"/>
      <c r="G3" s="37"/>
      <c r="H3" s="37"/>
      <c r="I3" s="37"/>
      <c r="J3" s="38" t="str">
        <f aca="false">IF(OR(F3="",H3=""),"",H3-F3)</f>
        <v/>
      </c>
      <c r="K3" s="24"/>
    </row>
    <row r="4" customFormat="false" ht="29.25" hidden="false" customHeight="true" outlineLevel="0" collapsed="false">
      <c r="A4" s="22" t="s">
        <v>127</v>
      </c>
      <c r="B4" s="21" t="s">
        <v>73</v>
      </c>
      <c r="C4" s="22" t="s">
        <v>128</v>
      </c>
      <c r="D4" s="22" t="s">
        <v>129</v>
      </c>
      <c r="E4" s="33" t="s">
        <v>122</v>
      </c>
      <c r="F4" s="34"/>
      <c r="G4" s="34"/>
      <c r="H4" s="34"/>
      <c r="I4" s="34"/>
      <c r="J4" s="35" t="str">
        <f aca="false">IF(OR(F4="",H4=""),"",H4-F4)</f>
        <v/>
      </c>
      <c r="K4" s="24"/>
    </row>
    <row r="5" customFormat="false" ht="15" hidden="false" customHeight="true" outlineLevel="0" collapsed="false">
      <c r="A5" s="22" t="s">
        <v>130</v>
      </c>
      <c r="B5" s="21" t="s">
        <v>78</v>
      </c>
      <c r="C5" s="22" t="s">
        <v>131</v>
      </c>
      <c r="D5" s="22" t="s">
        <v>132</v>
      </c>
      <c r="E5" s="36" t="s">
        <v>133</v>
      </c>
      <c r="F5" s="39"/>
      <c r="G5" s="39"/>
      <c r="H5" s="39"/>
      <c r="I5" s="39"/>
      <c r="J5" s="40" t="str">
        <f aca="false">IF(OR(F5="",H5=""),"",H5-F5)</f>
        <v/>
      </c>
      <c r="K5" s="24"/>
    </row>
    <row r="6" customFormat="false" ht="29.25" hidden="false" customHeight="true" outlineLevel="0" collapsed="false">
      <c r="A6" s="22" t="s">
        <v>134</v>
      </c>
      <c r="B6" s="21" t="s">
        <v>135</v>
      </c>
      <c r="C6" s="22" t="s">
        <v>136</v>
      </c>
      <c r="D6" s="22" t="s">
        <v>137</v>
      </c>
      <c r="E6" s="33" t="s">
        <v>90</v>
      </c>
      <c r="F6" s="37"/>
      <c r="G6" s="37"/>
      <c r="H6" s="37"/>
      <c r="I6" s="37"/>
      <c r="J6" s="38" t="str">
        <f aca="false">IF(OR(F6="",H6=""),"",H6-F6)</f>
        <v/>
      </c>
      <c r="K6" s="24"/>
    </row>
    <row r="8" customFormat="false" ht="15" hidden="false" customHeight="true" outlineLevel="0" collapsed="false">
      <c r="A8" s="15" t="s">
        <v>138</v>
      </c>
    </row>
    <row r="9" customFormat="false" ht="15" hidden="false" customHeight="true" outlineLevel="0" collapsed="false">
      <c r="A9" s="41" t="s">
        <v>139</v>
      </c>
      <c r="B9" s="41"/>
      <c r="C9" s="41"/>
      <c r="D9" s="41"/>
      <c r="E9" s="41"/>
      <c r="F9" s="41"/>
      <c r="G9" s="41"/>
      <c r="H9" s="41"/>
      <c r="I9" s="41"/>
      <c r="J9" s="41"/>
      <c r="K9" s="41"/>
    </row>
  </sheetData>
  <mergeCells count="1">
    <mergeCell ref="A9:K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2026-10-21T08:22:36Z</dcterms:created>
  <dc:creator>openpyxl</dc:creator>
  <dc:description/>
  <dc:language>en-US</dc:language>
  <cp:lastModifiedBy/>
  <dcterms:modified xsi:type="dcterms:W3CDTF">2026-10-21T09:02:50Z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